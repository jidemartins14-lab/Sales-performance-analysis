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user\Desktop\Data Analysis\"/>
    </mc:Choice>
  </mc:AlternateContent>
  <bookViews>
    <workbookView xWindow="0" yWindow="0" windowWidth="19200" windowHeight="7310" activeTab="2"/>
  </bookViews>
  <sheets>
    <sheet name="Advanced Sales Data" sheetId="1" r:id="rId1"/>
    <sheet name="PIVOT TABLE" sheetId="8" r:id="rId2"/>
    <sheet name="DASHBOARD" sheetId="9" r:id="rId3"/>
  </sheets>
  <definedNames>
    <definedName name="Slicer_Category">#N/A</definedName>
    <definedName name="Slicer_Customer_Name">#N/A</definedName>
  </definedNames>
  <calcPr calcId="152511" calcMode="manual"/>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I2" i="1" l="1"/>
  <c r="G3" i="1" l="1"/>
  <c r="I3" i="1" s="1"/>
  <c r="G4" i="1"/>
  <c r="I4" i="1" s="1"/>
  <c r="G5" i="1"/>
  <c r="I5" i="1" s="1"/>
  <c r="G6" i="1"/>
  <c r="I6" i="1" s="1"/>
  <c r="G7" i="1"/>
  <c r="I7" i="1" s="1"/>
  <c r="G8" i="1"/>
  <c r="I8" i="1" s="1"/>
  <c r="G9" i="1"/>
  <c r="I9" i="1" s="1"/>
  <c r="G10" i="1"/>
  <c r="I10" i="1" s="1"/>
  <c r="G11" i="1"/>
  <c r="I11" i="1" s="1"/>
  <c r="G12" i="1"/>
  <c r="I12" i="1" s="1"/>
  <c r="G13" i="1"/>
  <c r="I13" i="1" s="1"/>
  <c r="G14" i="1"/>
  <c r="I14" i="1" s="1"/>
  <c r="G15" i="1"/>
  <c r="I15" i="1" s="1"/>
  <c r="G16" i="1"/>
  <c r="I16" i="1" s="1"/>
  <c r="G17" i="1"/>
  <c r="I17" i="1" s="1"/>
  <c r="G18" i="1"/>
  <c r="I18" i="1" s="1"/>
  <c r="G19" i="1"/>
  <c r="I19" i="1" s="1"/>
  <c r="G20" i="1"/>
  <c r="I20" i="1" s="1"/>
  <c r="G21" i="1"/>
  <c r="I21" i="1" s="1"/>
  <c r="G22" i="1"/>
  <c r="I22" i="1" s="1"/>
  <c r="G23" i="1"/>
  <c r="I23" i="1" s="1"/>
  <c r="G24" i="1"/>
  <c r="I24" i="1" s="1"/>
  <c r="G25" i="1"/>
  <c r="I25" i="1" s="1"/>
  <c r="G26" i="1"/>
  <c r="I26" i="1" s="1"/>
  <c r="G27" i="1"/>
  <c r="I27" i="1" s="1"/>
  <c r="G28" i="1"/>
  <c r="I28" i="1" s="1"/>
  <c r="G29" i="1"/>
  <c r="I29" i="1" s="1"/>
  <c r="G30" i="1"/>
  <c r="I30" i="1" s="1"/>
  <c r="G31" i="1"/>
  <c r="I31" i="1" s="1"/>
  <c r="G32" i="1"/>
  <c r="I32" i="1" s="1"/>
  <c r="G33" i="1"/>
  <c r="I33" i="1" s="1"/>
  <c r="G34" i="1"/>
  <c r="I34" i="1" s="1"/>
  <c r="G35" i="1"/>
  <c r="I35" i="1" s="1"/>
  <c r="G36" i="1"/>
  <c r="I36" i="1" s="1"/>
  <c r="G37" i="1"/>
  <c r="I37" i="1" s="1"/>
  <c r="G38" i="1"/>
  <c r="I38" i="1" s="1"/>
  <c r="G39" i="1"/>
  <c r="I39" i="1" s="1"/>
  <c r="G40" i="1"/>
  <c r="I40" i="1" s="1"/>
  <c r="G41" i="1"/>
  <c r="I41" i="1" s="1"/>
  <c r="G42" i="1"/>
  <c r="I42" i="1" s="1"/>
  <c r="G43" i="1"/>
  <c r="I43" i="1" s="1"/>
  <c r="G44" i="1"/>
  <c r="I44" i="1" s="1"/>
  <c r="G45" i="1"/>
  <c r="I45" i="1" s="1"/>
  <c r="G46" i="1"/>
  <c r="I46" i="1" s="1"/>
  <c r="G47" i="1"/>
  <c r="I47" i="1" s="1"/>
  <c r="G48" i="1"/>
  <c r="I48" i="1" s="1"/>
  <c r="G49" i="1"/>
  <c r="I49" i="1" s="1"/>
  <c r="G50" i="1"/>
  <c r="I50" i="1" s="1"/>
  <c r="G51" i="1"/>
  <c r="I51" i="1" s="1"/>
  <c r="G52" i="1"/>
  <c r="I52" i="1" s="1"/>
  <c r="G53" i="1"/>
  <c r="I53" i="1" s="1"/>
  <c r="G54" i="1"/>
  <c r="I54" i="1" s="1"/>
  <c r="G55" i="1"/>
  <c r="I55" i="1" s="1"/>
  <c r="G56" i="1"/>
  <c r="I56" i="1" s="1"/>
  <c r="G57" i="1"/>
  <c r="I57" i="1" s="1"/>
  <c r="G58" i="1"/>
  <c r="I58" i="1" s="1"/>
  <c r="G59" i="1"/>
  <c r="I59" i="1" s="1"/>
  <c r="G60" i="1"/>
  <c r="I60" i="1" s="1"/>
  <c r="G61" i="1"/>
  <c r="I61" i="1" s="1"/>
  <c r="G62" i="1"/>
  <c r="I62" i="1" s="1"/>
  <c r="G63" i="1"/>
  <c r="I63" i="1" s="1"/>
  <c r="G64" i="1"/>
  <c r="I64" i="1" s="1"/>
  <c r="G65" i="1"/>
  <c r="I65" i="1" s="1"/>
  <c r="G66" i="1"/>
  <c r="I66" i="1" s="1"/>
  <c r="G67" i="1"/>
  <c r="I67" i="1" s="1"/>
  <c r="G68" i="1"/>
  <c r="I68" i="1" s="1"/>
  <c r="G69" i="1"/>
  <c r="I69" i="1" s="1"/>
  <c r="G70" i="1"/>
  <c r="I70" i="1" s="1"/>
  <c r="G71" i="1"/>
  <c r="I71" i="1" s="1"/>
  <c r="G72" i="1"/>
  <c r="I72" i="1" s="1"/>
  <c r="G73" i="1"/>
  <c r="I73" i="1" s="1"/>
  <c r="G74" i="1"/>
  <c r="I74" i="1" s="1"/>
  <c r="G75" i="1"/>
  <c r="I75" i="1" s="1"/>
  <c r="G76" i="1"/>
  <c r="I76" i="1" s="1"/>
  <c r="G77" i="1"/>
  <c r="I77" i="1" s="1"/>
  <c r="G78" i="1"/>
  <c r="I78" i="1" s="1"/>
  <c r="G79" i="1"/>
  <c r="I79" i="1" s="1"/>
  <c r="G80" i="1"/>
  <c r="I80" i="1" s="1"/>
  <c r="G81" i="1"/>
  <c r="I81" i="1" s="1"/>
  <c r="G82" i="1"/>
  <c r="I82" i="1" s="1"/>
  <c r="G83" i="1"/>
  <c r="I83" i="1" s="1"/>
  <c r="G84" i="1"/>
  <c r="I84" i="1" s="1"/>
  <c r="G85" i="1"/>
  <c r="I85" i="1" s="1"/>
  <c r="G86" i="1"/>
  <c r="I86" i="1" s="1"/>
  <c r="G87" i="1"/>
  <c r="I87" i="1" s="1"/>
  <c r="G88" i="1"/>
  <c r="I88" i="1" s="1"/>
  <c r="G89" i="1"/>
  <c r="I89" i="1" s="1"/>
  <c r="G90" i="1"/>
  <c r="I90" i="1" s="1"/>
  <c r="G91" i="1"/>
  <c r="I91" i="1" s="1"/>
  <c r="G92" i="1"/>
  <c r="I92" i="1" s="1"/>
  <c r="G93" i="1"/>
  <c r="I93" i="1" s="1"/>
  <c r="G94" i="1"/>
  <c r="I94" i="1" s="1"/>
  <c r="G95" i="1"/>
  <c r="I95" i="1" s="1"/>
  <c r="G96" i="1"/>
  <c r="I96" i="1" s="1"/>
  <c r="G97" i="1"/>
  <c r="I97" i="1" s="1"/>
  <c r="G98" i="1"/>
  <c r="I98" i="1" s="1"/>
  <c r="G99" i="1"/>
  <c r="I99" i="1" s="1"/>
  <c r="G100" i="1"/>
  <c r="I100" i="1" s="1"/>
  <c r="G101" i="1"/>
  <c r="I101" i="1" s="1"/>
  <c r="G102" i="1"/>
  <c r="I102" i="1" s="1"/>
  <c r="G103" i="1"/>
  <c r="I103" i="1" s="1"/>
  <c r="G104" i="1"/>
  <c r="I104" i="1" s="1"/>
  <c r="G105" i="1"/>
  <c r="I105" i="1" s="1"/>
  <c r="G106" i="1"/>
  <c r="I106" i="1" s="1"/>
  <c r="G107" i="1"/>
  <c r="I107" i="1" s="1"/>
  <c r="G108" i="1"/>
  <c r="I108" i="1" s="1"/>
  <c r="G109" i="1"/>
  <c r="I109" i="1" s="1"/>
  <c r="G110" i="1"/>
  <c r="I110" i="1" s="1"/>
  <c r="G111" i="1"/>
  <c r="I111" i="1" s="1"/>
  <c r="G112" i="1"/>
  <c r="I112" i="1" s="1"/>
  <c r="G113" i="1"/>
  <c r="I113" i="1" s="1"/>
  <c r="G114" i="1"/>
  <c r="I114" i="1" s="1"/>
  <c r="G115" i="1"/>
  <c r="I115" i="1" s="1"/>
  <c r="G116" i="1"/>
  <c r="I116" i="1" s="1"/>
  <c r="G117" i="1"/>
  <c r="I117" i="1" s="1"/>
  <c r="G118" i="1"/>
  <c r="I118" i="1" s="1"/>
  <c r="G119" i="1"/>
  <c r="I119" i="1" s="1"/>
  <c r="G120" i="1"/>
  <c r="I120" i="1" s="1"/>
  <c r="G121" i="1"/>
  <c r="I121" i="1" s="1"/>
  <c r="G122" i="1"/>
  <c r="I122" i="1" s="1"/>
  <c r="G123" i="1"/>
  <c r="I123" i="1" s="1"/>
  <c r="G124" i="1"/>
  <c r="I124" i="1" s="1"/>
  <c r="G125" i="1"/>
  <c r="I125" i="1" s="1"/>
  <c r="G126" i="1"/>
  <c r="I126" i="1" s="1"/>
  <c r="G127" i="1"/>
  <c r="I127" i="1" s="1"/>
  <c r="G128" i="1"/>
  <c r="I128" i="1" s="1"/>
  <c r="G129" i="1"/>
  <c r="I129" i="1" s="1"/>
  <c r="G130" i="1"/>
  <c r="I130" i="1" s="1"/>
  <c r="G131" i="1"/>
  <c r="I131" i="1" s="1"/>
  <c r="G132" i="1"/>
  <c r="I132" i="1" s="1"/>
  <c r="G133" i="1"/>
  <c r="I133" i="1" s="1"/>
  <c r="G134" i="1"/>
  <c r="I134" i="1" s="1"/>
  <c r="G135" i="1"/>
  <c r="I135" i="1" s="1"/>
  <c r="G136" i="1"/>
  <c r="I136" i="1" s="1"/>
  <c r="G137" i="1"/>
  <c r="I137" i="1" s="1"/>
  <c r="G138" i="1"/>
  <c r="I138" i="1" s="1"/>
  <c r="G139" i="1"/>
  <c r="I139" i="1" s="1"/>
  <c r="G140" i="1"/>
  <c r="I140" i="1" s="1"/>
  <c r="G141" i="1"/>
  <c r="I141" i="1" s="1"/>
  <c r="G142" i="1"/>
  <c r="I142" i="1" s="1"/>
  <c r="G143" i="1"/>
  <c r="I143" i="1" s="1"/>
  <c r="G144" i="1"/>
  <c r="I144" i="1" s="1"/>
  <c r="G145" i="1"/>
  <c r="I145" i="1" s="1"/>
  <c r="G146" i="1"/>
  <c r="I146" i="1" s="1"/>
  <c r="G147" i="1"/>
  <c r="I147" i="1" s="1"/>
  <c r="G148" i="1"/>
  <c r="I148" i="1" s="1"/>
  <c r="G149" i="1"/>
  <c r="I149" i="1" s="1"/>
  <c r="G150" i="1"/>
  <c r="I150" i="1" s="1"/>
  <c r="G151" i="1"/>
  <c r="I151" i="1" s="1"/>
  <c r="G152" i="1"/>
  <c r="I152" i="1" s="1"/>
  <c r="G153" i="1"/>
  <c r="I153" i="1" s="1"/>
  <c r="G154" i="1"/>
  <c r="I154" i="1" s="1"/>
  <c r="G155" i="1"/>
  <c r="I155" i="1" s="1"/>
  <c r="G156" i="1"/>
  <c r="I156" i="1" s="1"/>
  <c r="G157" i="1"/>
  <c r="I157" i="1" s="1"/>
  <c r="G158" i="1"/>
  <c r="I158" i="1" s="1"/>
  <c r="G159" i="1"/>
  <c r="I159" i="1" s="1"/>
  <c r="G160" i="1"/>
  <c r="I160" i="1" s="1"/>
  <c r="G161" i="1"/>
  <c r="I161" i="1" s="1"/>
  <c r="G162" i="1"/>
  <c r="I162" i="1" s="1"/>
  <c r="G163" i="1"/>
  <c r="I163" i="1" s="1"/>
  <c r="G164" i="1"/>
  <c r="I164" i="1" s="1"/>
  <c r="G165" i="1"/>
  <c r="I165" i="1" s="1"/>
  <c r="G166" i="1"/>
  <c r="I166" i="1" s="1"/>
  <c r="G167" i="1"/>
  <c r="I167" i="1" s="1"/>
  <c r="G168" i="1"/>
  <c r="I168" i="1" s="1"/>
  <c r="G169" i="1"/>
  <c r="I169" i="1" s="1"/>
  <c r="G170" i="1"/>
  <c r="I170" i="1" s="1"/>
  <c r="G171" i="1"/>
  <c r="I171" i="1" s="1"/>
  <c r="G172" i="1"/>
  <c r="I172" i="1" s="1"/>
  <c r="G173" i="1"/>
  <c r="I173" i="1" s="1"/>
  <c r="G174" i="1"/>
  <c r="I174" i="1" s="1"/>
  <c r="G175" i="1"/>
  <c r="I175" i="1" s="1"/>
  <c r="G176" i="1"/>
  <c r="I176" i="1" s="1"/>
  <c r="G177" i="1"/>
  <c r="I177" i="1" s="1"/>
  <c r="G178" i="1"/>
  <c r="I178" i="1" s="1"/>
  <c r="G179" i="1"/>
  <c r="I179" i="1" s="1"/>
  <c r="G180" i="1"/>
  <c r="I180" i="1" s="1"/>
  <c r="G181" i="1"/>
  <c r="I181" i="1" s="1"/>
  <c r="G182" i="1"/>
  <c r="I182" i="1" s="1"/>
  <c r="G183" i="1"/>
  <c r="I183" i="1" s="1"/>
  <c r="G184" i="1"/>
  <c r="I184" i="1" s="1"/>
  <c r="G185" i="1"/>
  <c r="I185" i="1" s="1"/>
  <c r="G186" i="1"/>
  <c r="I186" i="1" s="1"/>
  <c r="G187" i="1"/>
  <c r="I187" i="1" s="1"/>
  <c r="G188" i="1"/>
  <c r="I188" i="1" s="1"/>
  <c r="G189" i="1"/>
  <c r="I189" i="1" s="1"/>
  <c r="G190" i="1"/>
  <c r="I190" i="1" s="1"/>
  <c r="G191" i="1"/>
  <c r="I191" i="1" s="1"/>
  <c r="G192" i="1"/>
  <c r="I192" i="1" s="1"/>
  <c r="G193" i="1"/>
  <c r="I193" i="1" s="1"/>
  <c r="G194" i="1"/>
  <c r="I194" i="1" s="1"/>
  <c r="G195" i="1"/>
  <c r="I195" i="1" s="1"/>
  <c r="G196" i="1"/>
  <c r="I196" i="1" s="1"/>
  <c r="G197" i="1"/>
  <c r="I197" i="1" s="1"/>
  <c r="G198" i="1"/>
  <c r="I198" i="1" s="1"/>
  <c r="G199" i="1"/>
  <c r="I199" i="1" s="1"/>
  <c r="G200" i="1"/>
  <c r="I200" i="1" s="1"/>
  <c r="G2" i="1"/>
</calcChain>
</file>

<file path=xl/sharedStrings.xml><?xml version="1.0" encoding="utf-8"?>
<sst xmlns="http://schemas.openxmlformats.org/spreadsheetml/2006/main" count="886" uniqueCount="37">
  <si>
    <t>Date</t>
  </si>
  <si>
    <t>Customer Name</t>
  </si>
  <si>
    <t>Product</t>
  </si>
  <si>
    <t>Category</t>
  </si>
  <si>
    <t>Quantity</t>
  </si>
  <si>
    <t>Unit Price</t>
  </si>
  <si>
    <t>Region</t>
  </si>
  <si>
    <t>Chioma Nwoye</t>
  </si>
  <si>
    <t>Mouse</t>
  </si>
  <si>
    <t>Accessories</t>
  </si>
  <si>
    <t>Printer</t>
  </si>
  <si>
    <t>Electronics</t>
  </si>
  <si>
    <t>Keyboard</t>
  </si>
  <si>
    <t>Port Harcourt</t>
  </si>
  <si>
    <t>Table</t>
  </si>
  <si>
    <t>Furniture</t>
  </si>
  <si>
    <t>Kano</t>
  </si>
  <si>
    <t>Abuja</t>
  </si>
  <si>
    <t>Headphones</t>
  </si>
  <si>
    <t>N/A</t>
  </si>
  <si>
    <t>Ibrahim Musa</t>
  </si>
  <si>
    <t>Lagos</t>
  </si>
  <si>
    <t>Chair</t>
  </si>
  <si>
    <t>Phone</t>
  </si>
  <si>
    <t>Laptop</t>
  </si>
  <si>
    <t>Daniel Wilson</t>
  </si>
  <si>
    <t>Enugu</t>
  </si>
  <si>
    <t>Grace Brown</t>
  </si>
  <si>
    <t>John Doe</t>
  </si>
  <si>
    <t>David Smith</t>
  </si>
  <si>
    <t>Peace Okafor</t>
  </si>
  <si>
    <t>Mary Johnson</t>
  </si>
  <si>
    <t>Total Sales</t>
  </si>
  <si>
    <t>Sum of Total Sales</t>
  </si>
  <si>
    <t>Row Labels</t>
  </si>
  <si>
    <t>Discount</t>
  </si>
  <si>
    <t>DATA VISUALIZATION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</si>
</sst>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468]\ #,##0.00"/>
    <numFmt numFmtId="165" formatCode="[$₦-46A]#,##0.00"/>
    <numFmt numFmtId="166" formatCode="[$₦-466]\ #,##0.00"/>
    <numFmt numFmtId="167" formatCode="&quot;₦&quot;#,##0.00,,&quot;M&quot;"/>
  </numFmts>
  <fonts count="5" x14ac:knownFonts="1">
    <font>
      <sz val="11"/>
      <color theme="1"/>
      <name val="Calibri"/>
      <family val="2"/>
      <scheme val="minor"/>
    </font>
    <font>
      <b/>
      <sz val="11"/>
      <color theme="1"/>
      <name val="Calibri"/>
      <family val="2"/>
      <scheme val="minor"/>
    </font>
    <font>
      <sz val="14"/>
      <color theme="1"/>
      <name val="Calibri"/>
      <family val="2"/>
      <scheme val="minor"/>
    </font>
    <font>
      <b/>
      <sz val="24"/>
      <color rgb="FFC00000"/>
      <name val="Calibri"/>
      <family val="2"/>
      <scheme val="minor"/>
    </font>
    <font>
      <sz val="11"/>
      <color rgb="FFC00000"/>
      <name val="Calibri"/>
      <family val="2"/>
      <scheme val="minor"/>
    </font>
  </fonts>
  <fills count="4">
    <fill>
      <patternFill patternType="none"/>
    </fill>
    <fill>
      <patternFill patternType="gray125"/>
    </fill>
    <fill>
      <patternFill patternType="solid">
        <fgColor rgb="FF00B0F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18">
    <xf numFmtId="0" fontId="0" fillId="0" borderId="0" xfId="0"/>
    <xf numFmtId="14" fontId="0" fillId="0" borderId="0" xfId="0" applyNumberFormat="1"/>
    <xf numFmtId="164" fontId="0" fillId="0" borderId="0" xfId="0" applyNumberFormat="1"/>
    <xf numFmtId="0" fontId="0" fillId="0" borderId="0" xfId="0" applyAlignment="1">
      <alignment horizontal="left"/>
    </xf>
    <xf numFmtId="0" fontId="0" fillId="0" borderId="0" xfId="0" pivotButton="1"/>
    <xf numFmtId="165" fontId="0" fillId="0" borderId="0" xfId="0" applyNumberFormat="1"/>
    <xf numFmtId="166" fontId="0" fillId="0" borderId="0" xfId="0" applyNumberFormat="1"/>
    <xf numFmtId="0" fontId="2" fillId="0" borderId="0" xfId="0" applyFont="1"/>
    <xf numFmtId="9" fontId="0" fillId="0" borderId="0" xfId="0" applyNumberFormat="1"/>
    <xf numFmtId="0" fontId="1" fillId="2" borderId="0" xfId="0" applyFont="1" applyFill="1"/>
    <xf numFmtId="0" fontId="1" fillId="0" borderId="0" xfId="0" applyFont="1" applyAlignment="1"/>
    <xf numFmtId="0" fontId="1" fillId="3" borderId="0" xfId="0" applyFont="1" applyFill="1" applyAlignment="1">
      <alignment horizontal="center"/>
    </xf>
    <xf numFmtId="164" fontId="1" fillId="3" borderId="0" xfId="0" applyNumberFormat="1" applyFont="1" applyFill="1" applyAlignment="1">
      <alignment horizontal="center"/>
    </xf>
    <xf numFmtId="0" fontId="0" fillId="0" borderId="0" xfId="0" applyAlignment="1">
      <alignment horizontal="center"/>
    </xf>
    <xf numFmtId="166" fontId="0" fillId="0" borderId="0" xfId="0" applyNumberFormat="1" applyAlignment="1">
      <alignment horizontal="right"/>
    </xf>
    <xf numFmtId="167" fontId="0" fillId="0" borderId="0" xfId="0" applyNumberFormat="1"/>
    <xf numFmtId="0" fontId="3" fillId="0" borderId="0" xfId="0" applyFont="1" applyAlignment="1">
      <alignment horizontal="center"/>
    </xf>
    <xf numFmtId="0" fontId="4" fillId="0" borderId="0" xfId="0" applyFont="1" applyAlignment="1">
      <alignment horizontal="center"/>
    </xf>
  </cellXfs>
  <cellStyles count="1">
    <cellStyle name="Normal" xfId="0" builtinId="0"/>
  </cellStyles>
  <dxfs count="66">
    <dxf>
      <numFmt numFmtId="167" formatCode="&quot;₦&quot;#,##0.00,,&quot;M&quot;"/>
    </dxf>
    <dxf>
      <numFmt numFmtId="167" formatCode="&quot;₦&quot;#,##0.00,,&quot;M&quot;"/>
    </dxf>
    <dxf>
      <numFmt numFmtId="165" formatCode="[$₦-46A]#,##0.00"/>
    </dxf>
    <dxf>
      <numFmt numFmtId="166" formatCode="[$₦-466]\ #,##0.00"/>
    </dxf>
    <dxf>
      <numFmt numFmtId="167" formatCode="&quot;₦&quot;#,##0.00,,&quot;M&quot;"/>
    </dxf>
    <dxf>
      <numFmt numFmtId="167" formatCode="&quot;₦&quot;#,##0.00,,&quot;M&quot;"/>
    </dxf>
    <dxf>
      <numFmt numFmtId="167" formatCode="&quot;₦&quot;#,##0.00,,&quot;M&quot;"/>
    </dxf>
    <dxf>
      <numFmt numFmtId="167" formatCode="&quot;₦&quot;#,##0.00,,&quot;M&quot;"/>
    </dxf>
    <dxf>
      <numFmt numFmtId="165" formatCode="[$₦-46A]#,##0.00"/>
    </dxf>
    <dxf>
      <numFmt numFmtId="166" formatCode="[$₦-466]\ #,##0.00"/>
    </dxf>
    <dxf>
      <numFmt numFmtId="167" formatCode="&quot;₦&quot;#,##0.00,,&quot;M&quot;"/>
    </dxf>
    <dxf>
      <numFmt numFmtId="167" formatCode="&quot;₦&quot;#,##0.00,,&quot;M&quot;"/>
    </dxf>
    <dxf>
      <numFmt numFmtId="165" formatCode="[$₦-46A]#,##0.00"/>
    </dxf>
    <dxf>
      <numFmt numFmtId="166" formatCode="[$₦-466]\ #,##0.00"/>
    </dxf>
    <dxf>
      <numFmt numFmtId="167" formatCode="&quot;₦&quot;#,##0.00,,&quot;M&quot;"/>
    </dxf>
    <dxf>
      <numFmt numFmtId="167" formatCode="&quot;₦&quot;#,##0.00,,&quot;M&quot;"/>
    </dxf>
    <dxf>
      <numFmt numFmtId="167" formatCode="&quot;₦&quot;#,##0.00,,&quot;M&quot;"/>
    </dxf>
    <dxf>
      <numFmt numFmtId="167" formatCode="&quot;₦&quot;#,##0.00,,&quot;M&quot;"/>
    </dxf>
    <dxf>
      <numFmt numFmtId="165" formatCode="[$₦-46A]#,##0.00"/>
    </dxf>
    <dxf>
      <numFmt numFmtId="166" formatCode="[$₦-466]\ #,##0.00"/>
    </dxf>
    <dxf>
      <numFmt numFmtId="167" formatCode="&quot;₦&quot;#,##0.00,,&quot;M&quot;"/>
    </dxf>
    <dxf>
      <numFmt numFmtId="167" formatCode="&quot;₦&quot;#,##0.00,,&quot;M&quot;"/>
    </dxf>
    <dxf>
      <numFmt numFmtId="165" formatCode="[$₦-46A]#,##0.00"/>
    </dxf>
    <dxf>
      <numFmt numFmtId="166" formatCode="[$₦-466]\ #,##0.00"/>
    </dxf>
    <dxf>
      <numFmt numFmtId="167" formatCode="&quot;₦&quot;#,##0.00,,&quot;M&quot;"/>
    </dxf>
    <dxf>
      <numFmt numFmtId="167" formatCode="&quot;₦&quot;#,##0.00,,&quot;M&quot;"/>
    </dxf>
    <dxf>
      <numFmt numFmtId="167" formatCode="&quot;₦&quot;#,##0.00,,&quot;M&quot;"/>
    </dxf>
    <dxf>
      <numFmt numFmtId="167" formatCode="&quot;₦&quot;#,##0.00,,&quot;M&quot;"/>
    </dxf>
    <dxf>
      <numFmt numFmtId="165" formatCode="[$₦-46A]#,##0.00"/>
    </dxf>
    <dxf>
      <numFmt numFmtId="166" formatCode="[$₦-466]\ #,##0.00"/>
    </dxf>
    <dxf>
      <numFmt numFmtId="167" formatCode="&quot;₦&quot;#,##0.00,,&quot;M&quot;"/>
    </dxf>
    <dxf>
      <numFmt numFmtId="167" formatCode="&quot;₦&quot;#,##0.00,,&quot;M&quot;"/>
    </dxf>
    <dxf>
      <numFmt numFmtId="165" formatCode="[$₦-46A]#,##0.00"/>
    </dxf>
    <dxf>
      <numFmt numFmtId="166" formatCode="[$₦-466]\ #,##0.00"/>
    </dxf>
    <dxf>
      <numFmt numFmtId="167" formatCode="&quot;₦&quot;#,##0.00,,&quot;M&quot;"/>
    </dxf>
    <dxf>
      <numFmt numFmtId="167" formatCode="&quot;₦&quot;#,##0.00,,&quot;M&quot;"/>
    </dxf>
    <dxf>
      <numFmt numFmtId="167" formatCode="&quot;₦&quot;#,##0.00,,&quot;M&quot;"/>
    </dxf>
    <dxf>
      <numFmt numFmtId="167" formatCode="&quot;₦&quot;#,##0.00,,&quot;M&quot;"/>
    </dxf>
    <dxf>
      <numFmt numFmtId="165" formatCode="[$₦-46A]#,##0.00"/>
    </dxf>
    <dxf>
      <numFmt numFmtId="166" formatCode="[$₦-466]\ #,##0.00"/>
    </dxf>
    <dxf>
      <numFmt numFmtId="167" formatCode="&quot;₦&quot;#,##0.00,,&quot;M&quot;"/>
    </dxf>
    <dxf>
      <numFmt numFmtId="167" formatCode="&quot;₦&quot;#,##0.00,,&quot;M&quot;"/>
    </dxf>
    <dxf>
      <numFmt numFmtId="165" formatCode="[$₦-46A]#,##0.00"/>
    </dxf>
    <dxf>
      <numFmt numFmtId="166" formatCode="[$₦-466]\ #,##0.00"/>
    </dxf>
    <dxf>
      <numFmt numFmtId="167" formatCode="&quot;₦&quot;#,##0.00,,&quot;M&quot;"/>
    </dxf>
    <dxf>
      <numFmt numFmtId="167" formatCode="&quot;₦&quot;#,##0.00,,&quot;M&quot;"/>
    </dxf>
    <dxf>
      <numFmt numFmtId="167" formatCode="&quot;₦&quot;#,##0.00,,&quot;M&quot;"/>
    </dxf>
    <dxf>
      <numFmt numFmtId="167" formatCode="&quot;₦&quot;#,##0.00,,&quot;M&quot;"/>
    </dxf>
    <dxf>
      <numFmt numFmtId="165" formatCode="[$₦-46A]#,##0.00"/>
    </dxf>
    <dxf>
      <numFmt numFmtId="166" formatCode="[$₦-466]\ #,##0.00"/>
    </dxf>
    <dxf>
      <numFmt numFmtId="167" formatCode="&quot;₦&quot;#,##0.00,,&quot;M&quot;"/>
    </dxf>
    <dxf>
      <numFmt numFmtId="167" formatCode="&quot;₦&quot;#,##0.00,,&quot;M&quot;"/>
    </dxf>
    <dxf>
      <numFmt numFmtId="166" formatCode="[$₦-466]\ #,##0.00"/>
    </dxf>
    <dxf>
      <numFmt numFmtId="165" formatCode="[$₦-46A]#,##0.00"/>
    </dxf>
    <dxf>
      <numFmt numFmtId="167" formatCode="&quot;₦&quot;#,##0.00,,&quot;M&quot;"/>
    </dxf>
    <dxf>
      <numFmt numFmtId="167" formatCode="&quot;₦&quot;#,##0.00,,&quot;M&quot;"/>
    </dxf>
    <dxf>
      <numFmt numFmtId="166" formatCode="[$₦-466]\ #,##0.00"/>
    </dxf>
    <dxf>
      <numFmt numFmtId="165" formatCode="[$₦-46A]#,##0.00"/>
    </dxf>
    <dxf>
      <numFmt numFmtId="167" formatCode="&quot;₦&quot;#,##0.00,,&quot;M&quot;"/>
    </dxf>
    <dxf>
      <numFmt numFmtId="167" formatCode="&quot;₦&quot;#,##0.00,,&quot;M&quot;"/>
    </dxf>
    <dxf>
      <numFmt numFmtId="166" formatCode="[$₦-466]\ #,##0.00"/>
      <alignment horizontal="right" vertical="bottom" textRotation="0" wrapText="0" indent="0" justifyLastLine="0" shrinkToFit="0" readingOrder="0"/>
    </dxf>
    <dxf>
      <numFmt numFmtId="164" formatCode="[$₦-468]\ #,##0.00"/>
    </dxf>
    <dxf>
      <numFmt numFmtId="164" formatCode="[$₦-468]\ #,##0.00"/>
    </dxf>
    <dxf>
      <font>
        <b/>
        <i val="0"/>
        <strike val="0"/>
        <condense val="0"/>
        <extend val="0"/>
        <outline val="0"/>
        <shadow val="0"/>
        <u val="none"/>
        <vertAlign val="baseline"/>
        <sz val="11"/>
        <color theme="1"/>
        <name val="Calibri"/>
        <scheme val="minor"/>
      </font>
      <fill>
        <patternFill patternType="solid">
          <fgColor indexed="64"/>
          <bgColor rgb="FF92D050"/>
        </patternFill>
      </fill>
      <alignment horizontal="center" vertical="bottom" textRotation="0" wrapText="0" indent="0" justifyLastLine="0" shrinkToFit="0" readingOrder="0"/>
    </dxf>
    <dxf>
      <font>
        <b/>
        <i val="0"/>
        <sz val="12"/>
      </font>
    </dxf>
    <dxf>
      <font>
        <b/>
        <i val="0"/>
        <sz val="14"/>
      </font>
    </dxf>
  </dxfs>
  <tableStyles count="2" defaultTableStyle="TableStyleMedium9" defaultPivotStyle="PivotStyleLight16">
    <tableStyle name="Slicer Style 1" pivot="0" table="0" count="4">
      <tableStyleElement type="wholeTable" dxfId="65"/>
    </tableStyle>
    <tableStyle name="Slicer Style 2" pivot="0" table="0" count="4">
      <tableStyleElement type="wholeTable" dxfId="64"/>
    </tableStyle>
  </tableStyles>
  <colors>
    <mruColors>
      <color rgb="FF99CCFF"/>
      <color rgb="FFFF99CC"/>
      <color rgb="FFFFCCFF"/>
    </mruColors>
  </colors>
  <extLst>
    <ext xmlns:x14="http://schemas.microsoft.com/office/spreadsheetml/2009/9/main" uri="{46F421CA-312F-682f-3DD2-61675219B42D}">
      <x14:dxfs count="6">
        <dxf>
          <fill>
            <patternFill>
              <bgColor rgb="FF99CCFF"/>
            </patternFill>
          </fill>
        </dxf>
        <dxf>
          <fill>
            <patternFill>
              <bgColor rgb="FF99CCFF"/>
            </patternFill>
          </fill>
        </dxf>
        <dxf>
          <fill>
            <patternFill>
              <bgColor rgb="FFFF99CC"/>
            </patternFill>
          </fill>
        </dxf>
        <dxf>
          <fill>
            <patternFill>
              <bgColor rgb="FF99CCFF"/>
            </patternFill>
          </fill>
        </dxf>
        <dxf>
          <fill>
            <patternFill>
              <bgColor rgb="FF99CCFF"/>
            </patternFill>
          </fill>
        </dxf>
        <dxf>
          <fill>
            <patternFill>
              <bgColor rgb="FFFF99CC"/>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5"/>
            <x14:slicerStyleElement type="hoveredUnselectedItemWithData" dxfId="4"/>
            <x14:slicerStyleElement type="hoveredSelectedItemWithData" dxfId="3"/>
          </x14:slicerStyleElements>
        </x14:slicerStyle>
        <x14:slicerStyle name="Slicer Style 2">
          <x14:slicerStyleElements>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[Jide Jegede advanced_sales_dataset.xlsx]PIVOT TABLE!PivotTable3</c:name>
    <c:fmtId val="3"/>
  </c:pivotSource>
  <c:chart>
    <c:autoTitleDeleted val="1"/>
    <c:pivotFmts>
      <c:pivotFmt>
        <c:idx val="0"/>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w="85725">
            <a:solidFill>
              <a:srgbClr val="00B0F0">
                <a:alpha val="99000"/>
              </a:srgbClr>
            </a:solidFill>
          </a:ln>
          <a:effectLst>
            <a:outerShdw blurRad="50800" dist="38100" dir="2700000" algn="tl" rotWithShape="0">
              <a:prstClr val="black">
                <a:alpha val="40000"/>
              </a:prstClr>
            </a:outerShdw>
          </a:effectLst>
        </c:spPr>
        <c:marker>
          <c:symbol val="none"/>
        </c:marker>
        <c:dLbl>
          <c:idx val="0"/>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0026909129333317"/>
          <c:y val="4.8644619735345326E-2"/>
          <c:w val="0.78148524957780396"/>
          <c:h val="0.95135515731134379"/>
        </c:manualLayout>
      </c:layout>
      <c:barChart>
        <c:barDir val="bar"/>
        <c:grouping val="clustered"/>
        <c:varyColors val="0"/>
        <c:ser>
          <c:idx val="0"/>
          <c:order val="0"/>
          <c:tx>
            <c:strRef>
              <c:f>'PIVOT TABLE'!$G$3</c:f>
              <c:strCache>
                <c:ptCount val="1"/>
                <c:pt idx="0">
                  <c:v>Total</c:v>
                </c:pt>
              </c:strCache>
            </c:strRef>
          </c:tx>
          <c:spPr>
            <a:solidFill>
              <a:srgbClr val="00B0F0"/>
            </a:solidFill>
            <a:ln w="85725">
              <a:solidFill>
                <a:srgbClr val="00B0F0">
                  <a:alpha val="99000"/>
                </a:srgbClr>
              </a:solidFill>
            </a:ln>
            <a:effectLst>
              <a:outerShdw blurRad="50800" dist="38100" dir="2700000" algn="tl" rotWithShape="0">
                <a:prstClr val="black">
                  <a:alpha val="40000"/>
                </a:prstClr>
              </a:out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TABLE'!$F$4:$F$12</c:f>
              <c:strCache>
                <c:ptCount val="9"/>
                <c:pt idx="0">
                  <c:v>Mouse</c:v>
                </c:pt>
                <c:pt idx="1">
                  <c:v>Keyboard</c:v>
                </c:pt>
                <c:pt idx="2">
                  <c:v>Headphones</c:v>
                </c:pt>
                <c:pt idx="3">
                  <c:v>N/A</c:v>
                </c:pt>
                <c:pt idx="4">
                  <c:v>Chair</c:v>
                </c:pt>
                <c:pt idx="5">
                  <c:v>Table</c:v>
                </c:pt>
                <c:pt idx="6">
                  <c:v>Printer</c:v>
                </c:pt>
                <c:pt idx="7">
                  <c:v>Phone</c:v>
                </c:pt>
                <c:pt idx="8">
                  <c:v>Laptop</c:v>
                </c:pt>
              </c:strCache>
            </c:strRef>
          </c:cat>
          <c:val>
            <c:numRef>
              <c:f>'PIVOT TABLE'!$G$4:$G$12</c:f>
              <c:numCache>
                <c:formatCode>"₦"#,##0.00,,"M"</c:formatCode>
                <c:ptCount val="9"/>
                <c:pt idx="0">
                  <c:v>660708.2300000001</c:v>
                </c:pt>
                <c:pt idx="1">
                  <c:v>1010990.9899999999</c:v>
                </c:pt>
                <c:pt idx="2">
                  <c:v>2253500.9</c:v>
                </c:pt>
                <c:pt idx="3">
                  <c:v>2668400</c:v>
                </c:pt>
                <c:pt idx="4">
                  <c:v>4162262.51</c:v>
                </c:pt>
                <c:pt idx="5">
                  <c:v>6783488.7999999989</c:v>
                </c:pt>
                <c:pt idx="6">
                  <c:v>6984522.7499999991</c:v>
                </c:pt>
                <c:pt idx="7">
                  <c:v>11244209.02</c:v>
                </c:pt>
                <c:pt idx="8">
                  <c:v>28281652.920000002</c:v>
                </c:pt>
              </c:numCache>
            </c:numRef>
          </c:val>
        </c:ser>
        <c:dLbls>
          <c:showLegendKey val="0"/>
          <c:showVal val="0"/>
          <c:showCatName val="0"/>
          <c:showSerName val="0"/>
          <c:showPercent val="0"/>
          <c:showBubbleSize val="0"/>
        </c:dLbls>
        <c:gapWidth val="182"/>
        <c:axId val="365134584"/>
        <c:axId val="365133800"/>
      </c:barChart>
      <c:catAx>
        <c:axId val="365134584"/>
        <c:scaling>
          <c:orientation val="minMax"/>
        </c:scaling>
        <c:delete val="0"/>
        <c:axPos val="l"/>
        <c:numFmt formatCode="General" sourceLinked="1"/>
        <c:majorTickMark val="none"/>
        <c:minorTickMark val="none"/>
        <c:tickLblPos val="nextTo"/>
        <c:spPr>
          <a:noFill/>
          <a:ln w="15875" cap="flat" cmpd="sng" algn="ctr">
            <a:solidFill>
              <a:schemeClr val="bg1">
                <a:lumMod val="6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133800"/>
        <c:crosses val="autoZero"/>
        <c:auto val="1"/>
        <c:lblAlgn val="ctr"/>
        <c:lblOffset val="100"/>
        <c:noMultiLvlLbl val="0"/>
      </c:catAx>
      <c:valAx>
        <c:axId val="365133800"/>
        <c:scaling>
          <c:orientation val="minMax"/>
        </c:scaling>
        <c:delete val="1"/>
        <c:axPos val="b"/>
        <c:numFmt formatCode="&quot;₦&quot;#,##0.00,,&quot;M&quot;" sourceLinked="1"/>
        <c:majorTickMark val="none"/>
        <c:minorTickMark val="none"/>
        <c:tickLblPos val="nextTo"/>
        <c:crossAx val="365134584"/>
        <c:crosses val="autoZero"/>
        <c:crossBetween val="between"/>
      </c:valAx>
      <c:spPr>
        <a:noFill/>
        <a:ln>
          <a:noFill/>
        </a:ln>
        <a:effectLst/>
      </c:spPr>
    </c:plotArea>
    <c:plotVisOnly val="1"/>
    <c:dispBlanksAs val="gap"/>
    <c:showDLblsOverMax val="0"/>
  </c:chart>
  <c:spPr>
    <a:solidFill>
      <a:schemeClr val="bg1"/>
    </a:solidFill>
    <a:ln w="38100" cap="flat" cmpd="sng" algn="ctr">
      <a:gradFill>
        <a:gsLst>
          <a:gs pos="0">
            <a:srgbClr val="FF99CC"/>
          </a:gs>
          <a:gs pos="100000">
            <a:srgbClr val="99CCFF"/>
          </a:gs>
        </a:gsLst>
        <a:lin ang="5400000" scaled="1"/>
      </a:gra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[Jide Jegede advanced_sales_dataset.xlsx]PIVOT TABLE!PivotTable4</c:name>
    <c:fmtId val="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0B0F0"/>
          </a:solidFill>
          <a:ln w="101600">
            <a:solidFill>
              <a:srgbClr val="00B0F0"/>
            </a:solidFill>
          </a:ln>
          <a:effectLst>
            <a:outerShdw blurRad="50800" dist="38100" dir="2700000" algn="tl" rotWithShape="0">
              <a:prstClr val="black">
                <a:alpha val="40000"/>
              </a:prstClr>
            </a:outerShdw>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5.3487207492460748E-2"/>
          <c:y val="1.6346152563201075E-2"/>
          <c:w val="0.94396578262694586"/>
          <c:h val="0.84956542732143003"/>
        </c:manualLayout>
      </c:layout>
      <c:barChart>
        <c:barDir val="col"/>
        <c:grouping val="clustered"/>
        <c:varyColors val="0"/>
        <c:ser>
          <c:idx val="0"/>
          <c:order val="0"/>
          <c:tx>
            <c:strRef>
              <c:f>'PIVOT TABLE'!$J$3</c:f>
              <c:strCache>
                <c:ptCount val="1"/>
                <c:pt idx="0">
                  <c:v>Total</c:v>
                </c:pt>
              </c:strCache>
            </c:strRef>
          </c:tx>
          <c:spPr>
            <a:solidFill>
              <a:srgbClr val="00B0F0"/>
            </a:solidFill>
            <a:ln w="101600">
              <a:solidFill>
                <a:srgbClr val="00B0F0"/>
              </a:solid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TABLE'!$I$4:$I$9</c:f>
              <c:strCache>
                <c:ptCount val="6"/>
                <c:pt idx="0">
                  <c:v>Abuja</c:v>
                </c:pt>
                <c:pt idx="1">
                  <c:v>Enugu</c:v>
                </c:pt>
                <c:pt idx="2">
                  <c:v>Kano</c:v>
                </c:pt>
                <c:pt idx="3">
                  <c:v>Lagos</c:v>
                </c:pt>
                <c:pt idx="4">
                  <c:v>N/A</c:v>
                </c:pt>
                <c:pt idx="5">
                  <c:v>Port Harcourt</c:v>
                </c:pt>
              </c:strCache>
            </c:strRef>
          </c:cat>
          <c:val>
            <c:numRef>
              <c:f>'PIVOT TABLE'!$J$4:$J$9</c:f>
              <c:numCache>
                <c:formatCode>"₦"#,##0.00,,"M"</c:formatCode>
                <c:ptCount val="6"/>
                <c:pt idx="0">
                  <c:v>22228499.18</c:v>
                </c:pt>
                <c:pt idx="1">
                  <c:v>8316228.0499999989</c:v>
                </c:pt>
                <c:pt idx="2">
                  <c:v>4004582.74</c:v>
                </c:pt>
                <c:pt idx="3">
                  <c:v>9658059.0999999978</c:v>
                </c:pt>
                <c:pt idx="4">
                  <c:v>11192963.720000004</c:v>
                </c:pt>
                <c:pt idx="5">
                  <c:v>8649403.3300000001</c:v>
                </c:pt>
              </c:numCache>
            </c:numRef>
          </c:val>
        </c:ser>
        <c:dLbls>
          <c:showLegendKey val="0"/>
          <c:showVal val="0"/>
          <c:showCatName val="0"/>
          <c:showSerName val="0"/>
          <c:showPercent val="0"/>
          <c:showBubbleSize val="0"/>
        </c:dLbls>
        <c:gapWidth val="219"/>
        <c:axId val="365137328"/>
        <c:axId val="365135368"/>
      </c:barChart>
      <c:catAx>
        <c:axId val="365137328"/>
        <c:scaling>
          <c:orientation val="minMax"/>
        </c:scaling>
        <c:delete val="0"/>
        <c:axPos val="b"/>
        <c:numFmt formatCode="General" sourceLinked="1"/>
        <c:majorTickMark val="none"/>
        <c:minorTickMark val="none"/>
        <c:tickLblPos val="low"/>
        <c:spPr>
          <a:noFill/>
          <a:ln w="15875" cap="flat" cmpd="sng" algn="ctr">
            <a:solidFill>
              <a:schemeClr val="bg1">
                <a:lumMod val="6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135368"/>
        <c:crosses val="autoZero"/>
        <c:auto val="1"/>
        <c:lblAlgn val="ctr"/>
        <c:lblOffset val="100"/>
        <c:noMultiLvlLbl val="0"/>
      </c:catAx>
      <c:valAx>
        <c:axId val="365135368"/>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quot;M&quot;" sourceLinked="1"/>
        <c:majorTickMark val="none"/>
        <c:minorTickMark val="none"/>
        <c:tickLblPos val="nextTo"/>
        <c:crossAx val="365137328"/>
        <c:crosses val="autoZero"/>
        <c:crossBetween val="between"/>
      </c:valAx>
      <c:spPr>
        <a:noFill/>
        <a:ln>
          <a:noFill/>
        </a:ln>
        <a:effectLst/>
      </c:spPr>
    </c:plotArea>
    <c:plotVisOnly val="1"/>
    <c:dispBlanksAs val="gap"/>
    <c:showDLblsOverMax val="0"/>
  </c:chart>
  <c:spPr>
    <a:solidFill>
      <a:schemeClr val="bg1"/>
    </a:solidFill>
    <a:ln w="34925" cap="flat" cmpd="sng" algn="ctr">
      <a:gradFill>
        <a:gsLst>
          <a:gs pos="0">
            <a:srgbClr val="FF99CC"/>
          </a:gs>
          <a:gs pos="100000">
            <a:srgbClr val="99CCFF"/>
          </a:gs>
        </a:gsLst>
        <a:lin ang="5400000" scaled="1"/>
      </a:gra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20763</xdr:colOff>
      <xdr:row>7</xdr:row>
      <xdr:rowOff>110010</xdr:rowOff>
    </xdr:from>
    <xdr:to>
      <xdr:col>3</xdr:col>
      <xdr:colOff>130916</xdr:colOff>
      <xdr:row>23</xdr:row>
      <xdr:rowOff>187471</xdr:rowOff>
    </xdr:to>
    <xdr:sp macro="" textlink="">
      <xdr:nvSpPr>
        <xdr:cNvPr id="5" name="Rounded Rectangle 4"/>
        <xdr:cNvSpPr/>
      </xdr:nvSpPr>
      <xdr:spPr>
        <a:xfrm>
          <a:off x="20763" y="1423305"/>
          <a:ext cx="1928562" cy="3129791"/>
        </a:xfrm>
        <a:prstGeom prst="roundRect">
          <a:avLst/>
        </a:prstGeom>
        <a:solidFill>
          <a:sysClr val="window" lastClr="FFFFFF"/>
        </a:solidFill>
        <a:ln w="38100">
          <a:gradFill>
            <a:gsLst>
              <a:gs pos="0">
                <a:srgbClr val="FF99CC"/>
              </a:gs>
              <a:gs pos="100000">
                <a:srgbClr val="99CCFF"/>
              </a:gs>
            </a:gsLst>
            <a:lin ang="5400000" scaled="1"/>
          </a:gra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511970</xdr:colOff>
      <xdr:row>2</xdr:row>
      <xdr:rowOff>6479</xdr:rowOff>
    </xdr:from>
    <xdr:to>
      <xdr:col>6</xdr:col>
      <xdr:colOff>71265</xdr:colOff>
      <xdr:row>10</xdr:row>
      <xdr:rowOff>129592</xdr:rowOff>
    </xdr:to>
    <xdr:sp macro="" textlink="">
      <xdr:nvSpPr>
        <xdr:cNvPr id="3" name="Rounded Rectangle 2"/>
        <xdr:cNvSpPr/>
      </xdr:nvSpPr>
      <xdr:spPr>
        <a:xfrm>
          <a:off x="2339215" y="369336"/>
          <a:ext cx="1386540" cy="1574542"/>
        </a:xfrm>
        <a:prstGeom prst="roundRect">
          <a:avLst/>
        </a:prstGeom>
        <a:solidFill>
          <a:schemeClr val="bg1"/>
        </a:solidFill>
        <a:ln w="38100">
          <a:gradFill>
            <a:gsLst>
              <a:gs pos="0">
                <a:srgbClr val="FF99CC"/>
              </a:gs>
              <a:gs pos="100000">
                <a:srgbClr val="99CCFF"/>
              </a:gs>
            </a:gsLst>
            <a:lin ang="5400000" scaled="1"/>
          </a:gra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585697</xdr:colOff>
      <xdr:row>2</xdr:row>
      <xdr:rowOff>91516</xdr:rowOff>
    </xdr:from>
    <xdr:to>
      <xdr:col>5</xdr:col>
      <xdr:colOff>592047</xdr:colOff>
      <xdr:row>10</xdr:row>
      <xdr:rowOff>7608</xdr:rowOff>
    </xdr:to>
    <mc:AlternateContent xmlns:mc="http://schemas.openxmlformats.org/markup-compatibility/2006" xmlns:a14="http://schemas.microsoft.com/office/drawing/2010/main">
      <mc:Choice Requires="a14">
        <xdr:graphicFrame macro="">
          <xdr:nvGraphicFramePr>
            <xdr:cNvPr id="2"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412942" y="454373"/>
              <a:ext cx="1224513" cy="13675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22368</xdr:colOff>
      <xdr:row>1</xdr:row>
      <xdr:rowOff>147970</xdr:rowOff>
    </xdr:from>
    <xdr:to>
      <xdr:col>3</xdr:col>
      <xdr:colOff>342488</xdr:colOff>
      <xdr:row>7</xdr:row>
      <xdr:rowOff>28024</xdr:rowOff>
    </xdr:to>
    <xdr:sp macro="" textlink="'PIVOT TABLE'!$A$4">
      <xdr:nvSpPr>
        <xdr:cNvPr id="4" name="Rounded Rectangle 3"/>
        <xdr:cNvSpPr/>
      </xdr:nvSpPr>
      <xdr:spPr>
        <a:xfrm>
          <a:off x="22368" y="335584"/>
          <a:ext cx="2138529" cy="1005735"/>
        </a:xfrm>
        <a:prstGeom prst="roundRect">
          <a:avLst/>
        </a:prstGeom>
        <a:gradFill>
          <a:gsLst>
            <a:gs pos="0">
              <a:srgbClr val="FF99CC"/>
            </a:gs>
            <a:gs pos="100000">
              <a:srgbClr val="99CCFF"/>
            </a:gs>
          </a:gsLst>
          <a:lin ang="0" scaled="0"/>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fld id="{F23DB202-33C8-42D9-9015-3889A58C6349}" type="TxLink">
            <a:rPr lang="en-US" sz="2000" b="1" i="0" u="none" strike="noStrike">
              <a:solidFill>
                <a:srgbClr val="000000"/>
              </a:solidFill>
              <a:latin typeface="Calibri"/>
              <a:cs typeface="Calibri"/>
            </a:rPr>
            <a:pPr algn="r"/>
            <a:t>₦ 64,049,736.12</a:t>
          </a:fld>
          <a:endParaRPr lang="en-US" sz="2000" b="1"/>
        </a:p>
      </xdr:txBody>
    </xdr:sp>
    <xdr:clientData/>
  </xdr:twoCellAnchor>
  <xdr:twoCellAnchor>
    <xdr:from>
      <xdr:col>0</xdr:col>
      <xdr:colOff>28194</xdr:colOff>
      <xdr:row>1</xdr:row>
      <xdr:rowOff>147472</xdr:rowOff>
    </xdr:from>
    <xdr:to>
      <xdr:col>3</xdr:col>
      <xdr:colOff>354664</xdr:colOff>
      <xdr:row>4</xdr:row>
      <xdr:rowOff>38331</xdr:rowOff>
    </xdr:to>
    <xdr:sp macro="" textlink="">
      <xdr:nvSpPr>
        <xdr:cNvPr id="6" name="Round Same Side Corner Rectangle 5"/>
        <xdr:cNvSpPr/>
      </xdr:nvSpPr>
      <xdr:spPr>
        <a:xfrm>
          <a:off x="28194" y="335086"/>
          <a:ext cx="2144879" cy="453700"/>
        </a:xfrm>
        <a:prstGeom prst="round2SameRect">
          <a:avLst>
            <a:gd name="adj1" fmla="val 33810"/>
            <a:gd name="adj2" fmla="val 0"/>
          </a:avLst>
        </a:prstGeom>
        <a:solidFill>
          <a:schemeClr val="tx1">
            <a:lumMod val="65000"/>
            <a:lumOff val="35000"/>
            <a:alpha val="7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TOTAL</a:t>
          </a:r>
          <a:r>
            <a:rPr lang="en-US" sz="1400" b="1" baseline="0"/>
            <a:t> SALES</a:t>
          </a:r>
          <a:endParaRPr lang="en-US" sz="1400" b="1"/>
        </a:p>
      </xdr:txBody>
    </xdr:sp>
    <xdr:clientData/>
  </xdr:twoCellAnchor>
  <xdr:twoCellAnchor>
    <xdr:from>
      <xdr:col>12</xdr:col>
      <xdr:colOff>21640</xdr:colOff>
      <xdr:row>3</xdr:row>
      <xdr:rowOff>123502</xdr:rowOff>
    </xdr:from>
    <xdr:to>
      <xdr:col>18</xdr:col>
      <xdr:colOff>547007</xdr:colOff>
      <xdr:row>24</xdr:row>
      <xdr:rowOff>25400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387351</xdr:colOff>
      <xdr:row>11</xdr:row>
      <xdr:rowOff>83587</xdr:rowOff>
    </xdr:from>
    <xdr:to>
      <xdr:col>11</xdr:col>
      <xdr:colOff>412750</xdr:colOff>
      <xdr:row>23</xdr:row>
      <xdr:rowOff>103026</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128709</xdr:colOff>
      <xdr:row>8</xdr:row>
      <xdr:rowOff>178921</xdr:rowOff>
    </xdr:from>
    <xdr:to>
      <xdr:col>3</xdr:col>
      <xdr:colOff>60414</xdr:colOff>
      <xdr:row>22</xdr:row>
      <xdr:rowOff>127381</xdr:rowOff>
    </xdr:to>
    <mc:AlternateContent xmlns:mc="http://schemas.openxmlformats.org/markup-compatibility/2006" xmlns:a14="http://schemas.microsoft.com/office/drawing/2010/main">
      <mc:Choice Requires="a14">
        <xdr:graphicFrame macro="">
          <xdr:nvGraphicFramePr>
            <xdr:cNvPr id="12" name="Customer Name"/>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mlns="">
        <xdr:sp macro="" textlink="">
          <xdr:nvSpPr>
            <xdr:cNvPr id="0" name=""/>
            <xdr:cNvSpPr>
              <a:spLocks noTextEdit="1"/>
            </xdr:cNvSpPr>
          </xdr:nvSpPr>
          <xdr:spPr>
            <a:xfrm>
              <a:off x="128709" y="1679830"/>
              <a:ext cx="1750114" cy="26255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228.072775231478" createdVersion="5" refreshedVersion="5" minRefreshableVersion="3" recordCount="199">
  <cacheSource type="worksheet">
    <worksheetSource name="Table1"/>
  </cacheSource>
  <cacheFields count="9">
    <cacheField name="Date" numFmtId="14">
      <sharedItems containsDate="1" containsMixedTypes="1" minDate="2025-01-06T00:00:00" maxDate="2025-05-31T00:00:00"/>
    </cacheField>
    <cacheField name="Customer Name" numFmtId="0">
      <sharedItems count="8">
        <s v="Ibrahim Musa"/>
        <s v="Grace Brown"/>
        <s v="John Doe"/>
        <s v="Chioma Nwoye"/>
        <s v="Daniel Wilson"/>
        <s v="David Smith"/>
        <s v="Peace Okafor"/>
        <s v="Mary Johnson"/>
      </sharedItems>
    </cacheField>
    <cacheField name="Product" numFmtId="0">
      <sharedItems count="9">
        <s v="Phone"/>
        <s v="Mouse"/>
        <s v="Headphones"/>
        <s v="Laptop"/>
        <s v="N/A"/>
        <s v="Keyboard"/>
        <s v="Table"/>
        <s v="Printer"/>
        <s v="Chair"/>
      </sharedItems>
    </cacheField>
    <cacheField name="Category" numFmtId="0">
      <sharedItems count="3">
        <s v="Electronics"/>
        <s v="Accessories"/>
        <s v="Furniture"/>
      </sharedItems>
    </cacheField>
    <cacheField name="Quantity" numFmtId="0">
      <sharedItems containsSemiMixedTypes="0" containsString="0" containsNumber="1" containsInteger="1" minValue="-2" maxValue="10"/>
    </cacheField>
    <cacheField name="Unit Price" numFmtId="164">
      <sharedItems containsSemiMixedTypes="0" containsString="0" containsNumber="1" minValue="0" maxValue="400060.02"/>
    </cacheField>
    <cacheField name="Total Sales" numFmtId="164">
      <sharedItems containsSemiMixedTypes="0" containsString="0" containsNumber="1" minValue="-195995.82" maxValue="3505608.2700000005"/>
    </cacheField>
    <cacheField name="Region" numFmtId="0">
      <sharedItems count="6">
        <s v="Abuja"/>
        <s v="Port Harcourt"/>
        <s v="Lagos"/>
        <s v="Kano"/>
        <s v="Enugu"/>
        <s v="N/A"/>
      </sharedItems>
    </cacheField>
    <cacheField name="Discount" numFmtId="166">
      <sharedItems containsMixedTypes="1" containsNumber="1" minValue="0" maxValue="280448.6616000000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99">
  <r>
    <d v="2025-01-06T00:00:00"/>
    <x v="0"/>
    <x v="0"/>
    <x v="0"/>
    <n v="5"/>
    <n v="204140.09"/>
    <n v="1020700.45"/>
    <x v="0"/>
    <n v="40828.017999999996"/>
  </r>
  <r>
    <d v="2025-01-07T00:00:00"/>
    <x v="1"/>
    <x v="1"/>
    <x v="1"/>
    <n v="5"/>
    <n v="8159.96"/>
    <n v="40799.800000000003"/>
    <x v="1"/>
    <s v="No Discount"/>
  </r>
  <r>
    <d v="2025-01-07T00:00:00"/>
    <x v="2"/>
    <x v="2"/>
    <x v="1"/>
    <n v="3"/>
    <n v="0"/>
    <n v="0"/>
    <x v="0"/>
    <s v="No Discount"/>
  </r>
  <r>
    <d v="2025-01-08T00:00:00"/>
    <x v="3"/>
    <x v="1"/>
    <x v="1"/>
    <n v="0"/>
    <n v="7020"/>
    <n v="0"/>
    <x v="0"/>
    <s v="No Discount"/>
  </r>
  <r>
    <d v="2025-01-08T00:00:00"/>
    <x v="3"/>
    <x v="2"/>
    <x v="1"/>
    <n v="10"/>
    <n v="13927.77"/>
    <n v="139277.70000000001"/>
    <x v="1"/>
    <n v="11142.216"/>
  </r>
  <r>
    <d v="2025-01-10T00:00:00"/>
    <x v="4"/>
    <x v="3"/>
    <x v="0"/>
    <n v="5"/>
    <n v="0"/>
    <n v="0"/>
    <x v="2"/>
    <s v="No Discount"/>
  </r>
  <r>
    <d v="2025-01-10T00:00:00"/>
    <x v="0"/>
    <x v="4"/>
    <x v="1"/>
    <n v="10"/>
    <n v="13767.94"/>
    <n v="137679.4"/>
    <x v="0"/>
    <n v="5507.1759999999995"/>
  </r>
  <r>
    <d v="2025-01-11T00:00:00"/>
    <x v="2"/>
    <x v="5"/>
    <x v="1"/>
    <n v="1"/>
    <n v="12658.08"/>
    <n v="12658.08"/>
    <x v="1"/>
    <s v="No Discount"/>
  </r>
  <r>
    <d v="2025-01-11T00:00:00"/>
    <x v="2"/>
    <x v="6"/>
    <x v="2"/>
    <n v="5"/>
    <n v="0"/>
    <n v="0"/>
    <x v="3"/>
    <s v="No Discount"/>
  </r>
  <r>
    <d v="2025-01-12T00:00:00"/>
    <x v="5"/>
    <x v="7"/>
    <x v="0"/>
    <n v="2"/>
    <n v="0"/>
    <n v="0"/>
    <x v="1"/>
    <s v="No Discount"/>
  </r>
  <r>
    <d v="2025-01-13T00:00:00"/>
    <x v="3"/>
    <x v="2"/>
    <x v="1"/>
    <n v="5"/>
    <n v="0"/>
    <n v="0"/>
    <x v="2"/>
    <s v="No Discount"/>
  </r>
  <r>
    <d v="2025-01-15T00:00:00"/>
    <x v="6"/>
    <x v="6"/>
    <x v="2"/>
    <n v="1"/>
    <n v="91767.26"/>
    <n v="91767.26"/>
    <x v="2"/>
    <s v="No Discount"/>
  </r>
  <r>
    <d v="2025-01-15T00:00:00"/>
    <x v="7"/>
    <x v="0"/>
    <x v="0"/>
    <n v="-1"/>
    <n v="195995.82"/>
    <n v="-195995.82"/>
    <x v="4"/>
    <s v="No Discount"/>
  </r>
  <r>
    <d v="2025-01-16T00:00:00"/>
    <x v="3"/>
    <x v="2"/>
    <x v="1"/>
    <n v="7"/>
    <n v="13189.05"/>
    <n v="92323.349999999991"/>
    <x v="2"/>
    <s v="No Discount"/>
  </r>
  <r>
    <d v="2025-01-18T00:00:00"/>
    <x v="5"/>
    <x v="8"/>
    <x v="2"/>
    <n v="2"/>
    <n v="44765.47"/>
    <n v="89530.94"/>
    <x v="0"/>
    <s v="No Discount"/>
  </r>
  <r>
    <d v="2025-01-18T00:00:00"/>
    <x v="7"/>
    <x v="6"/>
    <x v="2"/>
    <n v="4"/>
    <n v="90133.86"/>
    <n v="360535.44"/>
    <x v="4"/>
    <n v="18026.772000000001"/>
  </r>
  <r>
    <d v="2025-01-19T00:00:00"/>
    <x v="7"/>
    <x v="2"/>
    <x v="1"/>
    <n v="5"/>
    <n v="16952.41"/>
    <n v="84762.05"/>
    <x v="1"/>
    <s v="No Discount"/>
  </r>
  <r>
    <d v="2025-01-23T00:00:00"/>
    <x v="5"/>
    <x v="0"/>
    <x v="0"/>
    <n v="10"/>
    <n v="193020.41"/>
    <n v="1930204.1"/>
    <x v="0"/>
    <n v="77208.164000000004"/>
  </r>
  <r>
    <d v="2025-01-23T00:00:00"/>
    <x v="3"/>
    <x v="3"/>
    <x v="0"/>
    <n v="0"/>
    <n v="314132.18"/>
    <n v="0"/>
    <x v="0"/>
    <s v="No Discount"/>
  </r>
  <r>
    <d v="2025-01-23T00:00:00"/>
    <x v="6"/>
    <x v="6"/>
    <x v="2"/>
    <n v="7"/>
    <n v="87243.92"/>
    <n v="610707.43999999994"/>
    <x v="5"/>
    <n v="0"/>
  </r>
  <r>
    <d v="2025-01-24T00:00:00"/>
    <x v="5"/>
    <x v="1"/>
    <x v="1"/>
    <n v="1"/>
    <n v="0"/>
    <n v="0"/>
    <x v="0"/>
    <s v="No Discount"/>
  </r>
  <r>
    <d v="2025-01-24T00:00:00"/>
    <x v="4"/>
    <x v="6"/>
    <x v="2"/>
    <n v="5"/>
    <n v="79645.63"/>
    <n v="398228.15"/>
    <x v="0"/>
    <n v="15929.126000000002"/>
  </r>
  <r>
    <d v="2025-01-25T00:00:00"/>
    <x v="6"/>
    <x v="8"/>
    <x v="2"/>
    <n v="3"/>
    <n v="39663.14"/>
    <n v="118989.42"/>
    <x v="1"/>
    <n v="9519.1535999999996"/>
  </r>
  <r>
    <d v="2025-01-28T00:00:00"/>
    <x v="1"/>
    <x v="6"/>
    <x v="2"/>
    <n v="8"/>
    <n v="76173.37"/>
    <n v="609386.96"/>
    <x v="3"/>
    <n v="36563.217599999996"/>
  </r>
  <r>
    <d v="2025-01-28T00:00:00"/>
    <x v="4"/>
    <x v="2"/>
    <x v="1"/>
    <n v="9"/>
    <n v="0"/>
    <n v="0"/>
    <x v="2"/>
    <s v="No Discount"/>
  </r>
  <r>
    <d v="2025-01-28T00:00:00"/>
    <x v="5"/>
    <x v="3"/>
    <x v="0"/>
    <n v="5"/>
    <n v="388950.08"/>
    <n v="1944750.4000000001"/>
    <x v="3"/>
    <n v="116685.024"/>
  </r>
  <r>
    <d v="2025-01-30T00:00:00"/>
    <x v="3"/>
    <x v="3"/>
    <x v="0"/>
    <n v="5"/>
    <n v="0"/>
    <n v="0"/>
    <x v="0"/>
    <s v="No Discount"/>
  </r>
  <r>
    <d v="2025-01-30T00:00:00"/>
    <x v="0"/>
    <x v="0"/>
    <x v="0"/>
    <n v="7"/>
    <n v="179016.2"/>
    <n v="1253113.4000000001"/>
    <x v="5"/>
    <n v="0"/>
  </r>
  <r>
    <d v="2025-01-31T00:00:00"/>
    <x v="2"/>
    <x v="3"/>
    <x v="0"/>
    <n v="5"/>
    <n v="383639.73"/>
    <n v="1918198.65"/>
    <x v="1"/>
    <n v="153455.89199999999"/>
  </r>
  <r>
    <d v="2025-02-01T00:00:00"/>
    <x v="4"/>
    <x v="5"/>
    <x v="1"/>
    <n v="10"/>
    <n v="11105.06"/>
    <n v="111050.59999999999"/>
    <x v="1"/>
    <n v="8884.0479999999989"/>
  </r>
  <r>
    <d v="2025-02-02T00:00:00"/>
    <x v="7"/>
    <x v="1"/>
    <x v="1"/>
    <n v="7"/>
    <n v="8009.15"/>
    <n v="56064.049999999996"/>
    <x v="3"/>
    <s v="No Discount"/>
  </r>
  <r>
    <d v="2025-02-02T00:00:00"/>
    <x v="0"/>
    <x v="3"/>
    <x v="0"/>
    <n v="3"/>
    <n v="321202.15999999997"/>
    <n v="963606.48"/>
    <x v="0"/>
    <n v="38544.2592"/>
  </r>
  <r>
    <d v="2025-02-03T00:00:00"/>
    <x v="4"/>
    <x v="2"/>
    <x v="1"/>
    <n v="2"/>
    <n v="12963.47"/>
    <n v="25926.94"/>
    <x v="0"/>
    <s v="No Discount"/>
  </r>
  <r>
    <d v="2025-02-04T00:00:00"/>
    <x v="0"/>
    <x v="2"/>
    <x v="1"/>
    <n v="10"/>
    <n v="15291.86"/>
    <n v="152918.6"/>
    <x v="2"/>
    <n v="10704.302000000001"/>
  </r>
  <r>
    <d v="2025-02-04T00:00:00"/>
    <x v="3"/>
    <x v="4"/>
    <x v="2"/>
    <n v="3"/>
    <n v="0"/>
    <n v="0"/>
    <x v="2"/>
    <s v="No Discount"/>
  </r>
  <r>
    <d v="2025-02-07T00:00:00"/>
    <x v="0"/>
    <x v="5"/>
    <x v="1"/>
    <n v="3"/>
    <n v="12524.88"/>
    <n v="37574.639999999999"/>
    <x v="0"/>
    <s v="No Discount"/>
  </r>
  <r>
    <d v="2025-02-07T00:00:00"/>
    <x v="5"/>
    <x v="6"/>
    <x v="2"/>
    <n v="5"/>
    <n v="85057.33"/>
    <n v="425286.65"/>
    <x v="0"/>
    <n v="17011.466"/>
  </r>
  <r>
    <d v="2025-02-09T00:00:00"/>
    <x v="3"/>
    <x v="4"/>
    <x v="2"/>
    <n v="5"/>
    <n v="73299.990000000005"/>
    <n v="366499.95"/>
    <x v="0"/>
    <n v="14659.998000000001"/>
  </r>
  <r>
    <d v="2025-02-09T00:00:00"/>
    <x v="6"/>
    <x v="1"/>
    <x v="1"/>
    <n v="9"/>
    <n v="7040.92"/>
    <n v="63368.28"/>
    <x v="0"/>
    <s v="No Discount"/>
  </r>
  <r>
    <d v="2025-02-09T00:00:00"/>
    <x v="1"/>
    <x v="2"/>
    <x v="1"/>
    <n v="6"/>
    <n v="13062.14"/>
    <n v="78372.84"/>
    <x v="0"/>
    <s v="No Discount"/>
  </r>
  <r>
    <d v="2025-02-10T00:00:00"/>
    <x v="4"/>
    <x v="6"/>
    <x v="2"/>
    <n v="2"/>
    <n v="76356.73"/>
    <n v="152713.46"/>
    <x v="4"/>
    <n v="7635.6729999999998"/>
  </r>
  <r>
    <d v="2025-02-10T00:00:00"/>
    <x v="5"/>
    <x v="2"/>
    <x v="1"/>
    <n v="1"/>
    <n v="13482.82"/>
    <n v="13482.82"/>
    <x v="2"/>
    <s v="No Discount"/>
  </r>
  <r>
    <d v="2025-02-11T00:00:00"/>
    <x v="0"/>
    <x v="7"/>
    <x v="0"/>
    <n v="8"/>
    <n v="105878.62"/>
    <n v="847028.96"/>
    <x v="1"/>
    <n v="67762.316800000001"/>
  </r>
  <r>
    <d v="2025-02-11T00:00:00"/>
    <x v="3"/>
    <x v="5"/>
    <x v="1"/>
    <n v="8"/>
    <n v="11955.67"/>
    <n v="95645.36"/>
    <x v="1"/>
    <s v="No Discount"/>
  </r>
  <r>
    <d v="2025-02-13T00:00:00"/>
    <x v="6"/>
    <x v="4"/>
    <x v="0"/>
    <n v="7"/>
    <n v="0"/>
    <n v="0"/>
    <x v="0"/>
    <s v="No Discount"/>
  </r>
  <r>
    <d v="2025-02-15T00:00:00"/>
    <x v="2"/>
    <x v="5"/>
    <x v="1"/>
    <n v="4"/>
    <n v="11190.13"/>
    <n v="44760.52"/>
    <x v="2"/>
    <s v="No Discount"/>
  </r>
  <r>
    <d v="2025-02-16T00:00:00"/>
    <x v="5"/>
    <x v="8"/>
    <x v="2"/>
    <n v="4"/>
    <n v="49789.24"/>
    <n v="199156.96"/>
    <x v="5"/>
    <n v="0"/>
  </r>
  <r>
    <d v="2025-02-18T00:00:00"/>
    <x v="1"/>
    <x v="1"/>
    <x v="1"/>
    <n v="10"/>
    <n v="7286.17"/>
    <n v="72861.7"/>
    <x v="5"/>
    <s v="No Discount"/>
  </r>
  <r>
    <d v="2025-02-18T00:00:00"/>
    <x v="4"/>
    <x v="3"/>
    <x v="0"/>
    <n v="5"/>
    <n v="316216.90999999997"/>
    <n v="1581084.5499999998"/>
    <x v="0"/>
    <n v="63243.381999999991"/>
  </r>
  <r>
    <d v="2025-02-20T00:00:00"/>
    <x v="6"/>
    <x v="8"/>
    <x v="2"/>
    <n v="6"/>
    <n v="0"/>
    <n v="0"/>
    <x v="0"/>
    <s v="No Discount"/>
  </r>
  <r>
    <d v="2025-02-22T00:00:00"/>
    <x v="1"/>
    <x v="0"/>
    <x v="0"/>
    <n v="9"/>
    <n v="0"/>
    <n v="0"/>
    <x v="2"/>
    <s v="No Discount"/>
  </r>
  <r>
    <d v="2025-02-23T00:00:00"/>
    <x v="6"/>
    <x v="8"/>
    <x v="2"/>
    <n v="10"/>
    <n v="0"/>
    <n v="0"/>
    <x v="1"/>
    <s v="No Discount"/>
  </r>
  <r>
    <d v="2025-02-23T00:00:00"/>
    <x v="0"/>
    <x v="2"/>
    <x v="1"/>
    <n v="7"/>
    <n v="13515.87"/>
    <n v="94611.090000000011"/>
    <x v="5"/>
    <s v="No Discount"/>
  </r>
  <r>
    <d v="2025-02-24T00:00:00"/>
    <x v="2"/>
    <x v="5"/>
    <x v="1"/>
    <n v="4"/>
    <n v="13057.78"/>
    <n v="52231.12"/>
    <x v="0"/>
    <s v="No Discount"/>
  </r>
  <r>
    <d v="2025-02-24T00:00:00"/>
    <x v="7"/>
    <x v="2"/>
    <x v="1"/>
    <n v="10"/>
    <n v="15980.14"/>
    <n v="159801.4"/>
    <x v="0"/>
    <n v="6392.0559999999996"/>
  </r>
  <r>
    <d v="2025-02-24T00:00:00"/>
    <x v="2"/>
    <x v="2"/>
    <x v="1"/>
    <n v="7"/>
    <n v="16026.02"/>
    <n v="112182.14"/>
    <x v="0"/>
    <n v="4487.2856000000002"/>
  </r>
  <r>
    <d v="2025-02-25T00:00:00"/>
    <x v="2"/>
    <x v="6"/>
    <x v="2"/>
    <n v="7"/>
    <n v="80872.61"/>
    <n v="566108.27"/>
    <x v="5"/>
    <n v="0"/>
  </r>
  <r>
    <d v="2025-02-26T00:00:00"/>
    <x v="2"/>
    <x v="7"/>
    <x v="0"/>
    <n v="2"/>
    <n v="106607.48"/>
    <n v="213214.96"/>
    <x v="4"/>
    <n v="10660.748"/>
  </r>
  <r>
    <d v="2025-02-27T00:00:00"/>
    <x v="6"/>
    <x v="2"/>
    <x v="1"/>
    <n v="1"/>
    <n v="15976.72"/>
    <n v="15976.72"/>
    <x v="4"/>
    <s v="No Discount"/>
  </r>
  <r>
    <d v="2025-02-28T00:00:00"/>
    <x v="4"/>
    <x v="7"/>
    <x v="0"/>
    <n v="6"/>
    <n v="0"/>
    <n v="0"/>
    <x v="0"/>
    <s v="No Discount"/>
  </r>
  <r>
    <d v="2025-03-01T00:00:00"/>
    <x v="1"/>
    <x v="5"/>
    <x v="1"/>
    <n v="4"/>
    <n v="11884.61"/>
    <n v="47538.44"/>
    <x v="3"/>
    <s v="No Discount"/>
  </r>
  <r>
    <d v="2025-03-03T00:00:00"/>
    <x v="2"/>
    <x v="2"/>
    <x v="1"/>
    <n v="2"/>
    <n v="14934.23"/>
    <n v="29868.46"/>
    <x v="3"/>
    <s v="No Discount"/>
  </r>
  <r>
    <d v="2025-03-04T00:00:00"/>
    <x v="0"/>
    <x v="2"/>
    <x v="1"/>
    <n v="3"/>
    <n v="15792.03"/>
    <n v="47376.090000000004"/>
    <x v="4"/>
    <s v="No Discount"/>
  </r>
  <r>
    <d v="2025-03-04T00:00:00"/>
    <x v="1"/>
    <x v="3"/>
    <x v="0"/>
    <n v="0"/>
    <n v="383679.59"/>
    <n v="0"/>
    <x v="0"/>
    <s v="No Discount"/>
  </r>
  <r>
    <d v="2025-03-04T00:00:00"/>
    <x v="3"/>
    <x v="3"/>
    <x v="0"/>
    <n v="6"/>
    <n v="339552.57"/>
    <n v="2037315.42"/>
    <x v="2"/>
    <n v="142612.07940000002"/>
  </r>
  <r>
    <d v="2025-03-05T00:00:00"/>
    <x v="5"/>
    <x v="2"/>
    <x v="1"/>
    <n v="1"/>
    <n v="15886.27"/>
    <n v="15886.27"/>
    <x v="0"/>
    <s v="No Discount"/>
  </r>
  <r>
    <d v="2025-03-05T00:00:00"/>
    <x v="4"/>
    <x v="0"/>
    <x v="0"/>
    <n v="8"/>
    <n v="0"/>
    <n v="0"/>
    <x v="2"/>
    <s v="No Discount"/>
  </r>
  <r>
    <d v="2025-03-08T00:00:00"/>
    <x v="6"/>
    <x v="3"/>
    <x v="0"/>
    <n v="10"/>
    <n v="0"/>
    <n v="0"/>
    <x v="2"/>
    <s v="No Discount"/>
  </r>
  <r>
    <d v="2025-03-09T00:00:00"/>
    <x v="7"/>
    <x v="2"/>
    <x v="1"/>
    <n v="7"/>
    <n v="17221.41"/>
    <n v="120549.87"/>
    <x v="2"/>
    <n v="8438.4909000000007"/>
  </r>
  <r>
    <d v="2025-03-09T00:00:00"/>
    <x v="4"/>
    <x v="3"/>
    <x v="0"/>
    <n v="7"/>
    <n v="335230.39"/>
    <n v="2346612.73"/>
    <x v="4"/>
    <n v="117330.63650000001"/>
  </r>
  <r>
    <d v="2025-03-11T00:00:00"/>
    <x v="5"/>
    <x v="1"/>
    <x v="1"/>
    <n v="9"/>
    <n v="0"/>
    <n v="0"/>
    <x v="5"/>
    <s v="No Discount"/>
  </r>
  <r>
    <d v="2025-03-12T00:00:00"/>
    <x v="6"/>
    <x v="3"/>
    <x v="0"/>
    <n v="5"/>
    <n v="374619.09"/>
    <n v="1873095.4500000002"/>
    <x v="5"/>
    <n v="0"/>
  </r>
  <r>
    <d v="2025-03-12T00:00:00"/>
    <x v="3"/>
    <x v="3"/>
    <x v="0"/>
    <n v="1"/>
    <n v="322447.65000000002"/>
    <n v="322447.65000000002"/>
    <x v="1"/>
    <n v="25795.812000000002"/>
  </r>
  <r>
    <d v="2025-03-13T00:00:00"/>
    <x v="5"/>
    <x v="1"/>
    <x v="1"/>
    <n v="6"/>
    <n v="9199.8700000000008"/>
    <n v="55199.22"/>
    <x v="3"/>
    <s v="No Discount"/>
  </r>
  <r>
    <d v="2025-03-14T00:00:00"/>
    <x v="5"/>
    <x v="7"/>
    <x v="0"/>
    <n v="5"/>
    <n v="0"/>
    <n v="0"/>
    <x v="1"/>
    <s v="No Discount"/>
  </r>
  <r>
    <d v="2025-03-15T00:00:00"/>
    <x v="0"/>
    <x v="3"/>
    <x v="0"/>
    <n v="9"/>
    <n v="303650.28999999998"/>
    <n v="2732852.61"/>
    <x v="0"/>
    <n v="109314.1044"/>
  </r>
  <r>
    <d v="2025-03-15T00:00:00"/>
    <x v="5"/>
    <x v="2"/>
    <x v="1"/>
    <n v="3"/>
    <n v="15469.86"/>
    <n v="46409.58"/>
    <x v="1"/>
    <s v="No Discount"/>
  </r>
  <r>
    <d v="2025-03-16T00:00:00"/>
    <x v="0"/>
    <x v="5"/>
    <x v="1"/>
    <n v="8"/>
    <n v="0"/>
    <n v="0"/>
    <x v="0"/>
    <s v="No Discount"/>
  </r>
  <r>
    <d v="2025-03-18T00:00:00"/>
    <x v="3"/>
    <x v="1"/>
    <x v="1"/>
    <n v="6"/>
    <n v="8809.18"/>
    <n v="52855.08"/>
    <x v="2"/>
    <s v="No Discount"/>
  </r>
  <r>
    <d v="2025-03-18T00:00:00"/>
    <x v="3"/>
    <x v="2"/>
    <x v="1"/>
    <n v="7"/>
    <n v="14907.33"/>
    <n v="104351.31"/>
    <x v="3"/>
    <n v="6261.0785999999998"/>
  </r>
  <r>
    <d v="2025-03-20T00:00:00"/>
    <x v="4"/>
    <x v="8"/>
    <x v="2"/>
    <n v="4"/>
    <n v="49113.74"/>
    <n v="196454.96"/>
    <x v="5"/>
    <n v="0"/>
  </r>
  <r>
    <d v="2025-03-20T00:00:00"/>
    <x v="0"/>
    <x v="6"/>
    <x v="2"/>
    <n v="10"/>
    <n v="85269.65"/>
    <n v="852696.5"/>
    <x v="0"/>
    <n v="34107.86"/>
  </r>
  <r>
    <d v="2025-03-23T00:00:00"/>
    <x v="0"/>
    <x v="3"/>
    <x v="0"/>
    <n v="6"/>
    <n v="320845.82"/>
    <n v="1925074.92"/>
    <x v="4"/>
    <n v="96253.745999999999"/>
  </r>
  <r>
    <d v="2025-03-23T00:00:00"/>
    <x v="6"/>
    <x v="0"/>
    <x v="0"/>
    <n v="5"/>
    <n v="0"/>
    <n v="0"/>
    <x v="2"/>
    <s v="No Discount"/>
  </r>
  <r>
    <d v="2025-03-23T00:00:00"/>
    <x v="5"/>
    <x v="4"/>
    <x v="2"/>
    <n v="6"/>
    <n v="42407.83"/>
    <n v="254446.98"/>
    <x v="5"/>
    <n v="0"/>
  </r>
  <r>
    <d v="2025-03-24T00:00:00"/>
    <x v="1"/>
    <x v="0"/>
    <x v="0"/>
    <n v="1"/>
    <n v="0"/>
    <n v="0"/>
    <x v="0"/>
    <s v="No Discount"/>
  </r>
  <r>
    <d v="2025-03-24T00:00:00"/>
    <x v="4"/>
    <x v="1"/>
    <x v="1"/>
    <n v="1"/>
    <n v="9102.31"/>
    <n v="9102.31"/>
    <x v="1"/>
    <s v="No Discount"/>
  </r>
  <r>
    <d v="2025-03-25T00:00:00"/>
    <x v="3"/>
    <x v="4"/>
    <x v="1"/>
    <n v="3"/>
    <n v="0"/>
    <n v="0"/>
    <x v="5"/>
    <s v="No Discount"/>
  </r>
  <r>
    <d v="2025-03-27T00:00:00"/>
    <x v="3"/>
    <x v="5"/>
    <x v="1"/>
    <n v="4"/>
    <n v="11086.19"/>
    <n v="44344.76"/>
    <x v="3"/>
    <s v="No Discount"/>
  </r>
  <r>
    <d v="2025-03-29T00:00:00"/>
    <x v="1"/>
    <x v="3"/>
    <x v="0"/>
    <n v="3"/>
    <n v="343709.26"/>
    <n v="1031127.78"/>
    <x v="2"/>
    <n v="72178.944600000003"/>
  </r>
  <r>
    <d v="2025-03-30T00:00:00"/>
    <x v="7"/>
    <x v="8"/>
    <x v="2"/>
    <n v="4"/>
    <n v="49205.08"/>
    <n v="196820.32"/>
    <x v="2"/>
    <n v="13777.422400000001"/>
  </r>
  <r>
    <d v="2025-04-01T00:00:00"/>
    <x v="7"/>
    <x v="7"/>
    <x v="0"/>
    <n v="4"/>
    <n v="102358.45"/>
    <n v="409433.8"/>
    <x v="4"/>
    <n v="20471.690000000002"/>
  </r>
  <r>
    <d v="2025-04-01T00:00:00"/>
    <x v="1"/>
    <x v="6"/>
    <x v="2"/>
    <n v="3"/>
    <n v="89308.63"/>
    <n v="267925.89"/>
    <x v="3"/>
    <n v="16075.553400000001"/>
  </r>
  <r>
    <d v="2025-04-03T00:00:00"/>
    <x v="6"/>
    <x v="6"/>
    <x v="2"/>
    <n v="5"/>
    <n v="77011.75"/>
    <n v="385058.75"/>
    <x v="0"/>
    <n v="15402.35"/>
  </r>
  <r>
    <d v="2025-04-03T00:00:00"/>
    <x v="0"/>
    <x v="2"/>
    <x v="1"/>
    <n v="3"/>
    <n v="14627.54"/>
    <n v="43882.62"/>
    <x v="3"/>
    <s v="No Discount"/>
  </r>
  <r>
    <d v="2025-04-03T00:00:00"/>
    <x v="1"/>
    <x v="7"/>
    <x v="0"/>
    <n v="9"/>
    <n v="81867.19"/>
    <n v="736804.71"/>
    <x v="0"/>
    <n v="29472.188399999999"/>
  </r>
  <r>
    <d v="2025-04-03T00:00:00"/>
    <x v="1"/>
    <x v="2"/>
    <x v="1"/>
    <n v="-1"/>
    <n v="15069.49"/>
    <n v="-15069.49"/>
    <x v="3"/>
    <s v="No Discount"/>
  </r>
  <r>
    <d v="2025-04-03T00:00:00"/>
    <x v="4"/>
    <x v="5"/>
    <x v="1"/>
    <n v="7"/>
    <n v="11015.52"/>
    <n v="77108.639999999999"/>
    <x v="0"/>
    <s v="No Discount"/>
  </r>
  <r>
    <d v="2025-04-04T00:00:00"/>
    <x v="4"/>
    <x v="7"/>
    <x v="0"/>
    <n v="3"/>
    <n v="88708.41"/>
    <n v="266125.23"/>
    <x v="0"/>
    <n v="10645.009199999999"/>
  </r>
  <r>
    <d v="2025-04-04T00:00:00"/>
    <x v="0"/>
    <x v="7"/>
    <x v="0"/>
    <n v="10"/>
    <n v="105158.68"/>
    <n v="1051586.7999999998"/>
    <x v="0"/>
    <n v="42063.471999999994"/>
  </r>
  <r>
    <d v="2025-04-06T00:00:00"/>
    <x v="4"/>
    <x v="8"/>
    <x v="2"/>
    <n v="6"/>
    <n v="0"/>
    <n v="0"/>
    <x v="2"/>
    <s v="No Discount"/>
  </r>
  <r>
    <d v="2025-04-06T00:00:00"/>
    <x v="2"/>
    <x v="7"/>
    <x v="0"/>
    <n v="2"/>
    <n v="102325.79"/>
    <n v="204651.58"/>
    <x v="2"/>
    <n v="14325.6106"/>
  </r>
  <r>
    <d v="2025-04-07T00:00:00"/>
    <x v="7"/>
    <x v="8"/>
    <x v="2"/>
    <n v="10"/>
    <n v="46682.23"/>
    <n v="466822.30000000005"/>
    <x v="2"/>
    <n v="32677.561000000005"/>
  </r>
  <r>
    <d v="2025-04-07T00:00:00"/>
    <x v="4"/>
    <x v="8"/>
    <x v="2"/>
    <n v="3"/>
    <n v="43273.57"/>
    <n v="129820.70999999999"/>
    <x v="0"/>
    <n v="5192.8283999999994"/>
  </r>
  <r>
    <d v="2025-04-07T00:00:00"/>
    <x v="3"/>
    <x v="1"/>
    <x v="1"/>
    <n v="5"/>
    <n v="8544.4"/>
    <n v="42722"/>
    <x v="2"/>
    <s v="No Discount"/>
  </r>
  <r>
    <d v="2025-04-07T00:00:00"/>
    <x v="6"/>
    <x v="5"/>
    <x v="1"/>
    <n v="1"/>
    <n v="0"/>
    <n v="0"/>
    <x v="0"/>
    <s v="No Discount"/>
  </r>
  <r>
    <d v="2025-04-09T00:00:00"/>
    <x v="4"/>
    <x v="4"/>
    <x v="1"/>
    <n v="7"/>
    <n v="11798.53"/>
    <n v="82589.710000000006"/>
    <x v="0"/>
    <s v="No Discount"/>
  </r>
  <r>
    <d v="2025-04-09T00:00:00"/>
    <x v="0"/>
    <x v="7"/>
    <x v="0"/>
    <n v="10"/>
    <n v="0"/>
    <n v="0"/>
    <x v="4"/>
    <s v="No Discount"/>
  </r>
  <r>
    <d v="2025-04-09T00:00:00"/>
    <x v="7"/>
    <x v="6"/>
    <x v="2"/>
    <n v="7"/>
    <n v="0"/>
    <n v="0"/>
    <x v="2"/>
    <s v="No Discount"/>
  </r>
  <r>
    <d v="2025-04-09T00:00:00"/>
    <x v="6"/>
    <x v="5"/>
    <x v="1"/>
    <n v="-2"/>
    <n v="11530.56"/>
    <n v="-23061.119999999999"/>
    <x v="5"/>
    <s v="No Discount"/>
  </r>
  <r>
    <d v="2025-04-10T00:00:00"/>
    <x v="7"/>
    <x v="5"/>
    <x v="1"/>
    <n v="4"/>
    <n v="12451.69"/>
    <n v="49806.76"/>
    <x v="1"/>
    <s v="No Discount"/>
  </r>
  <r>
    <d v="2025-04-10T00:00:00"/>
    <x v="1"/>
    <x v="2"/>
    <x v="1"/>
    <n v="-2"/>
    <n v="14932.05"/>
    <n v="-29864.1"/>
    <x v="0"/>
    <s v="No Discount"/>
  </r>
  <r>
    <d v="2025-04-11T00:00:00"/>
    <x v="7"/>
    <x v="0"/>
    <x v="0"/>
    <n v="7"/>
    <n v="206884.76"/>
    <n v="1448193.32"/>
    <x v="5"/>
    <n v="0"/>
  </r>
  <r>
    <d v="2025-04-11T00:00:00"/>
    <x v="0"/>
    <x v="6"/>
    <x v="2"/>
    <n v="2"/>
    <n v="0"/>
    <n v="0"/>
    <x v="4"/>
    <s v="No Discount"/>
  </r>
  <r>
    <d v="2025-04-12T00:00:00"/>
    <x v="2"/>
    <x v="6"/>
    <x v="2"/>
    <n v="6"/>
    <n v="71697.23"/>
    <n v="430183.38"/>
    <x v="1"/>
    <n v="34414.670400000003"/>
  </r>
  <r>
    <d v="2025-04-14T00:00:00"/>
    <x v="0"/>
    <x v="1"/>
    <x v="1"/>
    <n v="3"/>
    <n v="7783.4"/>
    <n v="23350.199999999997"/>
    <x v="4"/>
    <s v="No Discount"/>
  </r>
  <r>
    <d v="2025-04-14T00:00:00"/>
    <x v="3"/>
    <x v="4"/>
    <x v="2"/>
    <n v="-2"/>
    <n v="40092.550000000003"/>
    <n v="-80185.100000000006"/>
    <x v="5"/>
    <s v="No Discount"/>
  </r>
  <r>
    <d v="2025-04-15T00:00:00"/>
    <x v="4"/>
    <x v="8"/>
    <x v="2"/>
    <n v="10"/>
    <n v="49490.85"/>
    <n v="494908.5"/>
    <x v="0"/>
    <n v="19796.34"/>
  </r>
  <r>
    <d v="2025-04-16T00:00:00"/>
    <x v="6"/>
    <x v="4"/>
    <x v="1"/>
    <n v="5"/>
    <n v="0"/>
    <n v="0"/>
    <x v="2"/>
    <s v="No Discount"/>
  </r>
  <r>
    <d v="2025-04-16T00:00:00"/>
    <x v="7"/>
    <x v="7"/>
    <x v="0"/>
    <n v="6"/>
    <n v="105821.36"/>
    <n v="634928.16"/>
    <x v="1"/>
    <n v="50794.252800000002"/>
  </r>
  <r>
    <d v="2025-04-17T00:00:00"/>
    <x v="2"/>
    <x v="7"/>
    <x v="0"/>
    <n v="1"/>
    <n v="108357.95"/>
    <n v="108357.95"/>
    <x v="5"/>
    <n v="0"/>
  </r>
  <r>
    <d v="2025-04-18T00:00:00"/>
    <x v="1"/>
    <x v="6"/>
    <x v="2"/>
    <n v="8"/>
    <n v="0"/>
    <n v="0"/>
    <x v="0"/>
    <s v="No Discount"/>
  </r>
  <r>
    <d v="2025-04-21T00:00:00"/>
    <x v="1"/>
    <x v="0"/>
    <x v="0"/>
    <n v="5"/>
    <n v="0"/>
    <n v="0"/>
    <x v="2"/>
    <s v="No Discount"/>
  </r>
  <r>
    <d v="2025-04-22T00:00:00"/>
    <x v="3"/>
    <x v="0"/>
    <x v="0"/>
    <n v="2"/>
    <n v="181314.89"/>
    <n v="362629.78"/>
    <x v="3"/>
    <n v="21757.786800000002"/>
  </r>
  <r>
    <d v="2025-04-22T00:00:00"/>
    <x v="6"/>
    <x v="1"/>
    <x v="1"/>
    <n v="9"/>
    <n v="8132.34"/>
    <n v="73191.06"/>
    <x v="3"/>
    <s v="No Discount"/>
  </r>
  <r>
    <d v="2025-04-23T00:00:00"/>
    <x v="1"/>
    <x v="5"/>
    <x v="1"/>
    <n v="5"/>
    <n v="11907.84"/>
    <n v="59539.199999999997"/>
    <x v="5"/>
    <s v="No Discount"/>
  </r>
  <r>
    <d v="2025-04-24T00:00:00"/>
    <x v="5"/>
    <x v="2"/>
    <x v="1"/>
    <n v="5"/>
    <n v="0"/>
    <n v="0"/>
    <x v="4"/>
    <s v="No Discount"/>
  </r>
  <r>
    <d v="2025-04-25T00:00:00"/>
    <x v="7"/>
    <x v="7"/>
    <x v="0"/>
    <n v="2"/>
    <n v="0"/>
    <n v="0"/>
    <x v="3"/>
    <s v="No Discount"/>
  </r>
  <r>
    <d v="2025-04-25T00:00:00"/>
    <x v="1"/>
    <x v="4"/>
    <x v="0"/>
    <n v="10"/>
    <n v="0"/>
    <n v="0"/>
    <x v="2"/>
    <s v="No Discount"/>
  </r>
  <r>
    <d v="2025-04-26T00:00:00"/>
    <x v="2"/>
    <x v="8"/>
    <x v="2"/>
    <n v="7"/>
    <n v="43599.72"/>
    <n v="305198.04000000004"/>
    <x v="4"/>
    <n v="15259.902000000002"/>
  </r>
  <r>
    <d v="2025-04-26T00:00:00"/>
    <x v="6"/>
    <x v="8"/>
    <x v="2"/>
    <n v="2"/>
    <n v="0"/>
    <n v="0"/>
    <x v="0"/>
    <s v="No Discount"/>
  </r>
  <r>
    <d v="2025-04-27T00:00:00"/>
    <x v="2"/>
    <x v="2"/>
    <x v="1"/>
    <n v="2"/>
    <n v="0"/>
    <n v="0"/>
    <x v="2"/>
    <s v="No Discount"/>
  </r>
  <r>
    <d v="2025-04-27T00:00:00"/>
    <x v="0"/>
    <x v="0"/>
    <x v="0"/>
    <n v="6"/>
    <n v="174757.36"/>
    <n v="1048544.1599999999"/>
    <x v="2"/>
    <n v="73398.091199999995"/>
  </r>
  <r>
    <d v="2025-04-28T00:00:00"/>
    <x v="4"/>
    <x v="5"/>
    <x v="1"/>
    <n v="8"/>
    <n v="0"/>
    <n v="0"/>
    <x v="4"/>
    <s v="No Discount"/>
  </r>
  <r>
    <d v="2025-04-29T00:00:00"/>
    <x v="7"/>
    <x v="7"/>
    <x v="0"/>
    <n v="7"/>
    <n v="95535.15"/>
    <n v="668746.04999999993"/>
    <x v="4"/>
    <n v="33437.302499999998"/>
  </r>
  <r>
    <d v="2025-04-29T00:00:00"/>
    <x v="6"/>
    <x v="7"/>
    <x v="0"/>
    <n v="6"/>
    <n v="0"/>
    <n v="0"/>
    <x v="0"/>
    <s v="No Discount"/>
  </r>
  <r>
    <d v="2025-05-01T00:00:00"/>
    <x v="2"/>
    <x v="7"/>
    <x v="0"/>
    <n v="7"/>
    <n v="100398.88"/>
    <n v="702792.16"/>
    <x v="5"/>
    <n v="0"/>
  </r>
  <r>
    <d v="2025-05-03T00:00:00"/>
    <x v="5"/>
    <x v="7"/>
    <x v="0"/>
    <n v="4"/>
    <n v="100868.26"/>
    <n v="403473.04"/>
    <x v="4"/>
    <n v="20173.652000000002"/>
  </r>
  <r>
    <d v="2025-05-04T00:00:00"/>
    <x v="6"/>
    <x v="8"/>
    <x v="2"/>
    <n v="3"/>
    <n v="0"/>
    <n v="0"/>
    <x v="0"/>
    <s v="No Discount"/>
  </r>
  <r>
    <d v="2025-05-06T00:00:00"/>
    <x v="1"/>
    <x v="1"/>
    <x v="1"/>
    <n v="1"/>
    <n v="7032.07"/>
    <n v="7032.07"/>
    <x v="0"/>
    <s v="No Discount"/>
  </r>
  <r>
    <d v="2025-05-07T00:00:00"/>
    <x v="6"/>
    <x v="8"/>
    <x v="2"/>
    <n v="2"/>
    <n v="41152.379999999997"/>
    <n v="82304.759999999995"/>
    <x v="2"/>
    <s v="No Discount"/>
  </r>
  <r>
    <d v="2025-05-08T00:00:00"/>
    <x v="2"/>
    <x v="1"/>
    <x v="1"/>
    <n v="5"/>
    <n v="9141.57"/>
    <n v="45707.85"/>
    <x v="2"/>
    <s v="No Discount"/>
  </r>
  <r>
    <d v="2025-05-09T00:00:00"/>
    <x v="4"/>
    <x v="8"/>
    <x v="2"/>
    <n v="4"/>
    <n v="38949.17"/>
    <n v="155796.68"/>
    <x v="0"/>
    <n v="6231.8671999999997"/>
  </r>
  <r>
    <d v="2025-05-09T00:00:00"/>
    <x v="7"/>
    <x v="6"/>
    <x v="2"/>
    <n v="3"/>
    <n v="0"/>
    <n v="0"/>
    <x v="0"/>
    <s v="No Discount"/>
  </r>
  <r>
    <d v="2025-05-10T00:00:00"/>
    <x v="7"/>
    <x v="6"/>
    <x v="2"/>
    <n v="10"/>
    <n v="90314.29"/>
    <n v="903142.89999999991"/>
    <x v="5"/>
    <n v="0"/>
  </r>
  <r>
    <d v="2025-05-11T00:00:00"/>
    <x v="1"/>
    <x v="6"/>
    <x v="2"/>
    <n v="3"/>
    <n v="74388.37"/>
    <n v="223165.11"/>
    <x v="0"/>
    <n v="8926.6044000000002"/>
  </r>
  <r>
    <d v="2025-05-11T00:00:00"/>
    <x v="2"/>
    <x v="1"/>
    <x v="1"/>
    <n v="3"/>
    <n v="8730.06"/>
    <n v="26190.18"/>
    <x v="4"/>
    <s v="No Discount"/>
  </r>
  <r>
    <d v="2025-05-12T00:00:00"/>
    <x v="1"/>
    <x v="0"/>
    <x v="0"/>
    <n v="7"/>
    <n v="160385.10999999999"/>
    <n v="1122695.77"/>
    <x v="0"/>
    <n v="44907.830800000003"/>
  </r>
  <r>
    <d v="2025-05-16T00:00:00"/>
    <x v="2"/>
    <x v="5"/>
    <x v="1"/>
    <n v="4"/>
    <n v="13391.8"/>
    <n v="53567.199999999997"/>
    <x v="5"/>
    <s v="No Discount"/>
  </r>
  <r>
    <d v="2025-05-16T00:00:00"/>
    <x v="2"/>
    <x v="5"/>
    <x v="1"/>
    <n v="4"/>
    <n v="11515.53"/>
    <n v="46062.12"/>
    <x v="0"/>
    <s v="No Discount"/>
  </r>
  <r>
    <d v="2025-05-17T00:00:00"/>
    <x v="3"/>
    <x v="2"/>
    <x v="1"/>
    <n v="8"/>
    <n v="15570.79"/>
    <n v="124566.32"/>
    <x v="0"/>
    <n v="4982.6528000000008"/>
  </r>
  <r>
    <d v="2025-05-17T00:00:00"/>
    <x v="2"/>
    <x v="0"/>
    <x v="0"/>
    <n v="7"/>
    <n v="157056.35"/>
    <n v="1099394.45"/>
    <x v="4"/>
    <n v="54969.722500000003"/>
  </r>
  <r>
    <d v="2025-05-18T00:00:00"/>
    <x v="3"/>
    <x v="7"/>
    <x v="0"/>
    <n v="2"/>
    <n v="0"/>
    <n v="0"/>
    <x v="1"/>
    <s v="No Discount"/>
  </r>
  <r>
    <d v="2025-05-19T00:00:00"/>
    <x v="7"/>
    <x v="5"/>
    <x v="1"/>
    <n v="10"/>
    <n v="10339.57"/>
    <n v="103395.7"/>
    <x v="5"/>
    <n v="0"/>
  </r>
  <r>
    <d v="2025-05-19T00:00:00"/>
    <x v="6"/>
    <x v="1"/>
    <x v="1"/>
    <n v="3"/>
    <n v="8277.18"/>
    <n v="24831.54"/>
    <x v="0"/>
    <s v="No Discount"/>
  </r>
  <r>
    <d v="2025-05-24T00:00:00"/>
    <x v="3"/>
    <x v="3"/>
    <x v="0"/>
    <n v="9"/>
    <n v="389512.03"/>
    <n v="3505608.2700000005"/>
    <x v="1"/>
    <n v="280448.66160000005"/>
  </r>
  <r>
    <d v="2025-05-24T00:00:00"/>
    <x v="1"/>
    <x v="3"/>
    <x v="0"/>
    <n v="4"/>
    <n v="400060.02"/>
    <n v="1600240.08"/>
    <x v="5"/>
    <n v="0"/>
  </r>
  <r>
    <d v="2025-05-25T00:00:00"/>
    <x v="6"/>
    <x v="8"/>
    <x v="2"/>
    <n v="5"/>
    <n v="50555.8"/>
    <n v="252779"/>
    <x v="5"/>
    <n v="0"/>
  </r>
  <r>
    <d v="2025-05-25T00:00:00"/>
    <x v="5"/>
    <x v="2"/>
    <x v="1"/>
    <n v="1"/>
    <n v="0"/>
    <n v="0"/>
    <x v="0"/>
    <s v="No Discount"/>
  </r>
  <r>
    <d v="2025-05-28T00:00:00"/>
    <x v="5"/>
    <x v="2"/>
    <x v="1"/>
    <n v="8"/>
    <n v="16457.84"/>
    <n v="131662.72"/>
    <x v="5"/>
    <n v="0"/>
  </r>
  <r>
    <d v="2025-05-29T00:00:00"/>
    <x v="1"/>
    <x v="0"/>
    <x v="0"/>
    <n v="7"/>
    <n v="191512.58"/>
    <n v="1340588.0599999998"/>
    <x v="0"/>
    <n v="53623.522399999994"/>
  </r>
  <r>
    <d v="2025-05-30T00:00:00"/>
    <x v="6"/>
    <x v="4"/>
    <x v="1"/>
    <n v="8"/>
    <n v="11122.12"/>
    <n v="88976.960000000006"/>
    <x v="3"/>
    <s v="No Discount"/>
  </r>
  <r>
    <s v="N/A"/>
    <x v="0"/>
    <x v="5"/>
    <x v="1"/>
    <n v="1"/>
    <n v="11947.97"/>
    <n v="11947.97"/>
    <x v="2"/>
    <s v="No Discount"/>
  </r>
  <r>
    <s v="N/A"/>
    <x v="3"/>
    <x v="8"/>
    <x v="2"/>
    <n v="2"/>
    <n v="39039.25"/>
    <n v="78078.5"/>
    <x v="5"/>
    <s v="No Discount"/>
  </r>
  <r>
    <s v="N/A"/>
    <x v="1"/>
    <x v="2"/>
    <x v="1"/>
    <n v="2"/>
    <n v="15076.76"/>
    <n v="30153.52"/>
    <x v="1"/>
    <s v="No Discount"/>
  </r>
  <r>
    <s v="N/A"/>
    <x v="7"/>
    <x v="5"/>
    <x v="1"/>
    <n v="8"/>
    <n v="10406.06"/>
    <n v="83248.479999999996"/>
    <x v="1"/>
    <s v="No Discount"/>
  </r>
  <r>
    <s v="N/A"/>
    <x v="4"/>
    <x v="2"/>
    <x v="1"/>
    <n v="9"/>
    <n v="14251.31"/>
    <n v="128261.79"/>
    <x v="2"/>
    <n v="8978.3253000000004"/>
  </r>
  <r>
    <s v="N/A"/>
    <x v="2"/>
    <x v="1"/>
    <x v="1"/>
    <n v="5"/>
    <n v="7279.27"/>
    <n v="36396.350000000006"/>
    <x v="4"/>
    <s v="No Discount"/>
  </r>
  <r>
    <s v="N/A"/>
    <x v="2"/>
    <x v="3"/>
    <x v="0"/>
    <n v="1"/>
    <n v="357955"/>
    <n v="357955"/>
    <x v="0"/>
    <n v="14318.2"/>
  </r>
  <r>
    <s v="N/A"/>
    <x v="5"/>
    <x v="2"/>
    <x v="1"/>
    <n v="8"/>
    <n v="14002.03"/>
    <n v="112016.24"/>
    <x v="0"/>
    <n v="4480.6496000000006"/>
  </r>
  <r>
    <s v="N/A"/>
    <x v="3"/>
    <x v="4"/>
    <x v="1"/>
    <n v="10"/>
    <n v="7374.96"/>
    <n v="73749.600000000006"/>
    <x v="2"/>
    <s v="No Discount"/>
  </r>
  <r>
    <s v="N/A"/>
    <x v="1"/>
    <x v="7"/>
    <x v="0"/>
    <n v="5"/>
    <n v="93671.11"/>
    <n v="468355.55"/>
    <x v="5"/>
    <n v="0"/>
  </r>
  <r>
    <s v="N/A"/>
    <x v="1"/>
    <x v="3"/>
    <x v="0"/>
    <n v="0"/>
    <n v="308409.15000000002"/>
    <n v="0"/>
    <x v="4"/>
    <s v="No Discount"/>
  </r>
  <r>
    <s v="N/A"/>
    <x v="0"/>
    <x v="4"/>
    <x v="0"/>
    <n v="4"/>
    <n v="0"/>
    <n v="0"/>
    <x v="4"/>
    <s v="No Discount"/>
  </r>
  <r>
    <s v="N/A"/>
    <x v="7"/>
    <x v="1"/>
    <x v="1"/>
    <n v="4"/>
    <n v="0"/>
    <n v="0"/>
    <x v="0"/>
    <s v="No Discount"/>
  </r>
  <r>
    <s v="N/A"/>
    <x v="1"/>
    <x v="2"/>
    <x v="1"/>
    <n v="5"/>
    <n v="14746.09"/>
    <n v="73730.45"/>
    <x v="2"/>
    <s v="No Discount"/>
  </r>
  <r>
    <s v="N/A"/>
    <x v="4"/>
    <x v="3"/>
    <x v="0"/>
    <n v="2"/>
    <n v="0"/>
    <n v="0"/>
    <x v="2"/>
    <s v="No Discount"/>
  </r>
  <r>
    <s v="N/A"/>
    <x v="6"/>
    <x v="6"/>
    <x v="2"/>
    <n v="1"/>
    <n v="68379.14"/>
    <n v="68379.14"/>
    <x v="4"/>
    <s v="No Discount"/>
  </r>
  <r>
    <s v="N/A"/>
    <x v="3"/>
    <x v="8"/>
    <x v="2"/>
    <n v="9"/>
    <n v="48615.06"/>
    <n v="437535.54"/>
    <x v="2"/>
    <n v="30627.487800000003"/>
  </r>
  <r>
    <s v="N/A"/>
    <x v="2"/>
    <x v="1"/>
    <x v="1"/>
    <n v="1"/>
    <n v="8182.45"/>
    <n v="8182.45"/>
    <x v="0"/>
    <s v="No Discount"/>
  </r>
  <r>
    <s v="N/A"/>
    <x v="1"/>
    <x v="5"/>
    <x v="1"/>
    <n v="9"/>
    <n v="0"/>
    <n v="0"/>
    <x v="0"/>
    <s v="No Discount"/>
  </r>
  <r>
    <s v="N/A"/>
    <x v="6"/>
    <x v="4"/>
    <x v="0"/>
    <n v="10"/>
    <n v="174464.25"/>
    <n v="1744642.5"/>
    <x v="0"/>
    <n v="69785.7"/>
  </r>
  <r>
    <s v="N/A"/>
    <x v="4"/>
    <x v="3"/>
    <x v="0"/>
    <n v="7"/>
    <n v="368064.54"/>
    <n v="2576451.7799999998"/>
    <x v="0"/>
    <n v="103058.07119999999"/>
  </r>
  <r>
    <s v="N/A"/>
    <x v="0"/>
    <x v="8"/>
    <x v="2"/>
    <n v="4"/>
    <n v="42276.15"/>
    <n v="169104.6"/>
    <x v="1"/>
    <n v="13528.368"/>
  </r>
  <r>
    <s v="N/A"/>
    <x v="0"/>
    <x v="3"/>
    <x v="0"/>
    <n v="5"/>
    <n v="313046.23"/>
    <n v="1565231.15"/>
    <x v="2"/>
    <n v="109566.1805"/>
  </r>
  <r>
    <s v="N/A"/>
    <x v="4"/>
    <x v="2"/>
    <x v="1"/>
    <n v="10"/>
    <n v="15333.05"/>
    <n v="153330.5"/>
    <x v="2"/>
    <n v="10733.135"/>
  </r>
  <r>
    <s v="N/A"/>
    <x v="1"/>
    <x v="8"/>
    <x v="2"/>
    <n v="5"/>
    <n v="45084.14"/>
    <n v="225420.7"/>
    <x v="2"/>
    <n v="15779.449000000002"/>
  </r>
  <r>
    <s v="N/A"/>
    <x v="5"/>
    <x v="2"/>
    <x v="1"/>
    <n v="10"/>
    <n v="16675.310000000001"/>
    <n v="166753.1"/>
    <x v="2"/>
    <n v="11672.717000000002"/>
  </r>
  <r>
    <s v="N/A"/>
    <x v="3"/>
    <x v="1"/>
    <x v="1"/>
    <n v="3"/>
    <n v="0"/>
    <n v="0"/>
    <x v="0"/>
    <s v="No Discount"/>
  </r>
  <r>
    <s v="N/A"/>
    <x v="2"/>
    <x v="5"/>
    <x v="1"/>
    <n v="10"/>
    <n v="12990.1"/>
    <n v="129901"/>
    <x v="2"/>
    <n v="9093.0700000000015"/>
  </r>
  <r>
    <s v="N/A"/>
    <x v="1"/>
    <x v="8"/>
    <x v="2"/>
    <n v="4"/>
    <n v="38345.57"/>
    <n v="153382.28"/>
    <x v="2"/>
    <n v="10736.759600000001"/>
  </r>
  <r>
    <s v="N/A"/>
    <x v="7"/>
    <x v="0"/>
    <x v="0"/>
    <n v="5"/>
    <n v="162828.26999999999"/>
    <n v="814141.35"/>
    <x v="2"/>
    <n v="56989.894500000002"/>
  </r>
  <r>
    <s v="N/A"/>
    <x v="5"/>
    <x v="6"/>
    <x v="2"/>
    <n v="2"/>
    <n v="73330.59"/>
    <n v="146661.18"/>
    <x v="0"/>
    <n v="5866.4471999999996"/>
  </r>
  <r>
    <s v="N/A"/>
    <x v="4"/>
    <x v="6"/>
    <x v="2"/>
    <n v="4"/>
    <n v="72885.58"/>
    <n v="291542.32"/>
    <x v="3"/>
    <n v="17492.539199999999"/>
  </r>
  <r>
    <s v="N/A"/>
    <x v="1"/>
    <x v="8"/>
    <x v="2"/>
    <n v="10"/>
    <n v="41015.83"/>
    <n v="410158.30000000005"/>
    <x v="4"/>
    <n v="20507.915000000005"/>
  </r>
  <r>
    <s v="N/A"/>
    <x v="4"/>
    <x v="7"/>
    <x v="0"/>
    <n v="3"/>
    <n v="89674.6"/>
    <n v="269023.80000000005"/>
    <x v="5"/>
    <n v="0"/>
  </r>
  <r>
    <s v="N/A"/>
    <x v="0"/>
    <x v="1"/>
    <x v="1"/>
    <n v="3"/>
    <n v="7618.03"/>
    <n v="22854.09"/>
    <x v="5"/>
    <s v="No Discount"/>
  </r>
  <r>
    <s v="N/A"/>
    <x v="4"/>
    <x v="7"/>
    <x v="0"/>
    <n v="2"/>
    <n v="0"/>
    <n v="0"/>
    <x v="3"/>
    <s v="No Discount"/>
  </r>
  <r>
    <s v="N/A"/>
    <x v="7"/>
    <x v="5"/>
    <x v="1"/>
    <n v="-2"/>
    <n v="13164.24"/>
    <n v="-26328.48"/>
    <x v="5"/>
    <s v="No Discoun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rowGrandTotals="0" colGrandTotals="0" itemPrintTitles="1" createdVersion="5" indent="0" outline="1" outlineData="1" multipleFieldFilters="0" chartFormat="4">
  <location ref="F3:G12" firstHeaderRow="1" firstDataRow="1" firstDataCol="1"/>
  <pivotFields count="9">
    <pivotField showAll="0"/>
    <pivotField showAll="0">
      <items count="9">
        <item x="3"/>
        <item x="4"/>
        <item x="5"/>
        <item x="1"/>
        <item x="0"/>
        <item x="2"/>
        <item x="7"/>
        <item x="6"/>
        <item t="default"/>
      </items>
    </pivotField>
    <pivotField axis="axisRow" showAll="0" sortType="ascending">
      <items count="10">
        <item x="8"/>
        <item x="2"/>
        <item x="5"/>
        <item x="3"/>
        <item x="1"/>
        <item x="4"/>
        <item x="0"/>
        <item x="7"/>
        <item x="6"/>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numFmtId="164" showAll="0"/>
    <pivotField dataField="1" numFmtId="164" showAll="0"/>
    <pivotField showAll="0"/>
    <pivotField showAll="0" defaultSubtotal="0"/>
  </pivotFields>
  <rowFields count="1">
    <field x="2"/>
  </rowFields>
  <rowItems count="9">
    <i>
      <x v="4"/>
    </i>
    <i>
      <x v="2"/>
    </i>
    <i>
      <x v="1"/>
    </i>
    <i>
      <x v="5"/>
    </i>
    <i>
      <x/>
    </i>
    <i>
      <x v="8"/>
    </i>
    <i>
      <x v="7"/>
    </i>
    <i>
      <x v="6"/>
    </i>
    <i>
      <x v="3"/>
    </i>
  </rowItems>
  <colItems count="1">
    <i/>
  </colItems>
  <dataFields count="1">
    <dataField name="Sum of Total Sales" fld="6" baseField="0" baseItem="0" numFmtId="167"/>
  </dataFields>
  <formats count="2">
    <format dxfId="51">
      <pivotArea outline="0" collapsedLevelsAreSubtotals="1" fieldPosition="0"/>
    </format>
    <format dxfId="50">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rowGrandTotals="0" colGrandTotals="0" itemPrintTitles="1" createdVersion="5" indent="0" outline="1" outlineData="1" multipleFieldFilters="0">
  <location ref="A9:B17" firstHeaderRow="1" firstDataRow="1" firstDataCol="1"/>
  <pivotFields count="9">
    <pivotField showAll="0"/>
    <pivotField axis="axisRow" showAll="0">
      <items count="9">
        <item x="3"/>
        <item x="4"/>
        <item x="5"/>
        <item x="1"/>
        <item x="0"/>
        <item x="2"/>
        <item x="7"/>
        <item x="6"/>
        <item t="default"/>
      </items>
    </pivotField>
    <pivotField showAll="0"/>
    <pivotField showAll="0">
      <items count="4">
        <item x="1"/>
        <item x="0"/>
        <item x="2"/>
        <item t="default"/>
      </items>
    </pivotField>
    <pivotField showAll="0"/>
    <pivotField numFmtId="164" showAll="0"/>
    <pivotField dataField="1" numFmtId="164" showAll="0"/>
    <pivotField showAll="0"/>
    <pivotField showAll="0" defaultSubtotal="0"/>
  </pivotFields>
  <rowFields count="1">
    <field x="1"/>
  </rowFields>
  <rowItems count="8">
    <i>
      <x/>
    </i>
    <i>
      <x v="1"/>
    </i>
    <i>
      <x v="2"/>
    </i>
    <i>
      <x v="3"/>
    </i>
    <i>
      <x v="4"/>
    </i>
    <i>
      <x v="5"/>
    </i>
    <i>
      <x v="6"/>
    </i>
    <i>
      <x v="7"/>
    </i>
  </rowItems>
  <colItems count="1">
    <i/>
  </colItems>
  <dataFields count="1">
    <dataField name="Sum of Total Sales" fld="6" baseField="0" baseItem="0" numFmtId="166"/>
  </dataFields>
  <formats count="2">
    <format dxfId="53">
      <pivotArea dataOnly="0" labelOnly="1" outline="0" axis="axisValues" fieldPosition="0"/>
    </format>
    <format dxfId="5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rowGrandTotals="0" colGrandTotals="0" itemPrintTitles="1" createdVersion="5" indent="0" outline="1" outlineData="1" multipleFieldFilters="0">
  <location ref="C3:D6" firstHeaderRow="1" firstDataRow="1" firstDataCol="1"/>
  <pivotFields count="9">
    <pivotField showAll="0"/>
    <pivotField showAll="0">
      <items count="9">
        <item x="3"/>
        <item x="4"/>
        <item x="5"/>
        <item x="1"/>
        <item x="0"/>
        <item x="2"/>
        <item x="7"/>
        <item x="6"/>
        <item t="default"/>
      </items>
    </pivotField>
    <pivotField showAll="0"/>
    <pivotField axis="axisRow" showAll="0">
      <items count="4">
        <item x="1"/>
        <item x="0"/>
        <item x="2"/>
        <item t="default"/>
      </items>
    </pivotField>
    <pivotField showAll="0"/>
    <pivotField numFmtId="164" showAll="0"/>
    <pivotField dataField="1" numFmtId="164" showAll="0"/>
    <pivotField showAll="0"/>
    <pivotField showAll="0" defaultSubtotal="0"/>
  </pivotFields>
  <rowFields count="1">
    <field x="3"/>
  </rowFields>
  <rowItems count="3">
    <i>
      <x/>
    </i>
    <i>
      <x v="1"/>
    </i>
    <i>
      <x v="2"/>
    </i>
  </rowItems>
  <colItems count="1">
    <i/>
  </colItems>
  <dataFields count="1">
    <dataField name="Sum of Total Sales" fld="6" baseField="0" baseItem="0" numFmtId="167"/>
  </dataFields>
  <formats count="2">
    <format dxfId="55">
      <pivotArea outline="0" collapsedLevelsAreSubtotals="1" fieldPosition="0"/>
    </format>
    <format dxfId="5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4" firstHeaderRow="1" firstDataRow="1" firstDataCol="0"/>
  <pivotFields count="9">
    <pivotField showAll="0"/>
    <pivotField showAll="0">
      <items count="9">
        <item x="3"/>
        <item x="4"/>
        <item x="5"/>
        <item x="1"/>
        <item x="0"/>
        <item x="2"/>
        <item x="7"/>
        <item x="6"/>
        <item t="default"/>
      </items>
    </pivotField>
    <pivotField showAll="0"/>
    <pivotField showAll="0">
      <items count="4">
        <item x="1"/>
        <item x="0"/>
        <item x="2"/>
        <item t="default"/>
      </items>
    </pivotField>
    <pivotField showAll="0"/>
    <pivotField numFmtId="164" showAll="0"/>
    <pivotField dataField="1" numFmtId="164" showAll="0"/>
    <pivotField showAll="0"/>
    <pivotField showAll="0" defaultSubtotal="0"/>
  </pivotFields>
  <rowItems count="1">
    <i/>
  </rowItems>
  <colItems count="1">
    <i/>
  </colItems>
  <dataFields count="1">
    <dataField name="Sum of Total Sales" fld="6" baseField="0" baseItem="0" numFmtId="166"/>
  </dataFields>
  <formats count="2">
    <format dxfId="57">
      <pivotArea dataOnly="0" labelOnly="1" outline="0" axis="axisValues" fieldPosition="0"/>
    </format>
    <format dxfId="5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rowGrandTotals="0" colGrandTotals="0" itemPrintTitles="1" createdVersion="5" indent="0" outline="1" outlineData="1" multipleFieldFilters="0" chartFormat="24">
  <location ref="I3:J9" firstHeaderRow="1" firstDataRow="1" firstDataCol="1"/>
  <pivotFields count="9">
    <pivotField showAll="0"/>
    <pivotField showAll="0">
      <items count="9">
        <item x="3"/>
        <item x="4"/>
        <item x="5"/>
        <item x="1"/>
        <item x="0"/>
        <item x="2"/>
        <item x="7"/>
        <item x="6"/>
        <item t="default"/>
      </items>
    </pivotField>
    <pivotField showAll="0"/>
    <pivotField showAll="0">
      <items count="4">
        <item x="1"/>
        <item x="0"/>
        <item x="2"/>
        <item t="default"/>
      </items>
    </pivotField>
    <pivotField showAll="0"/>
    <pivotField numFmtId="164" showAll="0"/>
    <pivotField dataField="1" numFmtId="164" showAll="0"/>
    <pivotField axis="axisRow" showAll="0">
      <items count="7">
        <item x="0"/>
        <item x="4"/>
        <item x="3"/>
        <item x="2"/>
        <item x="5"/>
        <item x="1"/>
        <item t="default"/>
      </items>
    </pivotField>
    <pivotField showAll="0" defaultSubtotal="0"/>
  </pivotFields>
  <rowFields count="1">
    <field x="7"/>
  </rowFields>
  <rowItems count="6">
    <i>
      <x/>
    </i>
    <i>
      <x v="1"/>
    </i>
    <i>
      <x v="2"/>
    </i>
    <i>
      <x v="3"/>
    </i>
    <i>
      <x v="4"/>
    </i>
    <i>
      <x v="5"/>
    </i>
  </rowItems>
  <colItems count="1">
    <i/>
  </colItems>
  <dataFields count="1">
    <dataField name="Sum of Total Sales" fld="6" baseField="0" baseItem="0" numFmtId="167"/>
  </dataFields>
  <formats count="2">
    <format dxfId="59">
      <pivotArea outline="0" collapsedLevelsAreSubtotals="1" fieldPosition="0"/>
    </format>
    <format dxfId="58">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8" name="PivotTable2"/>
    <pivotTable tabId="8" name="PivotTable1"/>
    <pivotTable tabId="8" name="PivotTable3"/>
    <pivotTable tabId="8" name="PivotTable4"/>
    <pivotTable tabId="8" name="PivotTable5"/>
  </pivotTables>
  <data>
    <tabular pivotCacheId="1">
      <items count="3">
        <i x="1" s="1"/>
        <i x="0" s="1"/>
        <i x="2"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ustomer_Name" sourceName="Customer Name">
  <pivotTables>
    <pivotTable tabId="8" name="PivotTable5"/>
    <pivotTable tabId="8" name="PivotTable3"/>
    <pivotTable tabId="8" name="PivotTable2"/>
    <pivotTable tabId="8" name="PivotTable1"/>
    <pivotTable tabId="8" name="PivotTable4"/>
  </pivotTables>
  <data>
    <tabular pivotCacheId="1">
      <items count="8">
        <i x="3" s="1"/>
        <i x="4" s="1"/>
        <i x="5" s="1"/>
        <i x="1" s="1"/>
        <i x="0" s="1"/>
        <i x="2" s="1"/>
        <i x="7"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showCaption="0" style="Slicer Style 1" rowHeight="365760"/>
  <slicer name="Customer Name" cache="Slicer_Customer_Name" caption="Customer Name" showCaption="0" style="Slicer Style 2" rowHeight="274320"/>
</slicers>
</file>

<file path=xl/tables/table1.xml><?xml version="1.0" encoding="utf-8"?>
<table xmlns="http://schemas.openxmlformats.org/spreadsheetml/2006/main" id="1" name="Table1" displayName="Table1" ref="A1:I200" totalsRowShown="0" headerRowDxfId="63">
  <autoFilter ref="A1:I200"/>
  <tableColumns count="9">
    <tableColumn id="1" name="Date"/>
    <tableColumn id="2" name="Customer Name"/>
    <tableColumn id="3" name="Product"/>
    <tableColumn id="4" name="Category"/>
    <tableColumn id="5" name="Quantity"/>
    <tableColumn id="6" name="Unit Price" dataDxfId="62"/>
    <tableColumn id="7" name="Total Sales" dataDxfId="61">
      <calculatedColumnFormula>E2*F2</calculatedColumnFormula>
    </tableColumn>
    <tableColumn id="8" name="Region"/>
    <tableColumn id="11" name="Discount" dataDxfId="60">
      <calculatedColumnFormula>IF(G2&gt;=100000,G2*VLOOKUP(H2,$L$1:$M$7,2,FALSE),"No Discount")</calculatedColumnFormula>
    </tableColumn>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00"/>
  <sheetViews>
    <sheetView workbookViewId="0">
      <selection activeCell="B2" sqref="B2"/>
    </sheetView>
  </sheetViews>
  <sheetFormatPr defaultRowHeight="14.5" x14ac:dyDescent="0.35"/>
  <cols>
    <col min="1" max="1" width="9.453125" bestFit="1" customWidth="1"/>
    <col min="2" max="2" width="19" bestFit="1" customWidth="1"/>
    <col min="3" max="3" width="12" bestFit="1" customWidth="1"/>
    <col min="4" max="4" width="12.81640625" bestFit="1" customWidth="1"/>
    <col min="5" max="5" width="12.7265625" bestFit="1" customWidth="1"/>
    <col min="6" max="6" width="13.453125" style="2" bestFit="1" customWidth="1"/>
    <col min="7" max="7" width="14.26953125" style="2" bestFit="1" customWidth="1"/>
    <col min="8" max="8" width="12.08984375" bestFit="1" customWidth="1"/>
    <col min="9" max="9" width="12.7265625" bestFit="1" customWidth="1"/>
    <col min="10" max="10" width="12.08984375" bestFit="1" customWidth="1"/>
    <col min="12" max="12" width="12.08984375" bestFit="1" customWidth="1"/>
    <col min="13" max="13" width="8.1796875" bestFit="1" customWidth="1"/>
  </cols>
  <sheetData>
    <row r="1" spans="1:13" x14ac:dyDescent="0.35">
      <c r="A1" s="11" t="s">
        <v>0</v>
      </c>
      <c r="B1" s="11" t="s">
        <v>1</v>
      </c>
      <c r="C1" s="11" t="s">
        <v>2</v>
      </c>
      <c r="D1" s="11" t="s">
        <v>3</v>
      </c>
      <c r="E1" s="11" t="s">
        <v>4</v>
      </c>
      <c r="F1" s="12" t="s">
        <v>5</v>
      </c>
      <c r="G1" s="12" t="s">
        <v>32</v>
      </c>
      <c r="H1" s="11" t="s">
        <v>6</v>
      </c>
      <c r="I1" s="11" t="s">
        <v>35</v>
      </c>
      <c r="L1" s="9" t="s">
        <v>6</v>
      </c>
      <c r="M1" s="9" t="s">
        <v>35</v>
      </c>
    </row>
    <row r="2" spans="1:13" x14ac:dyDescent="0.35">
      <c r="A2" s="1">
        <v>45663</v>
      </c>
      <c r="B2" t="s">
        <v>20</v>
      </c>
      <c r="C2" t="s">
        <v>23</v>
      </c>
      <c r="D2" t="s">
        <v>11</v>
      </c>
      <c r="E2">
        <v>5</v>
      </c>
      <c r="F2" s="2">
        <v>204140.09</v>
      </c>
      <c r="G2" s="2">
        <f>E2*F2</f>
        <v>1020700.45</v>
      </c>
      <c r="H2" t="s">
        <v>17</v>
      </c>
      <c r="I2" s="14">
        <f>IF(G2&gt;=100000,G2*VLOOKUP(H2,$L$1:$M$7,2,FALSE),"No Discount")</f>
        <v>40828.017999999996</v>
      </c>
      <c r="L2" t="s">
        <v>17</v>
      </c>
      <c r="M2" s="8">
        <v>0.04</v>
      </c>
    </row>
    <row r="3" spans="1:13" x14ac:dyDescent="0.35">
      <c r="A3" s="1">
        <v>45664</v>
      </c>
      <c r="B3" t="s">
        <v>27</v>
      </c>
      <c r="C3" t="s">
        <v>8</v>
      </c>
      <c r="D3" t="s">
        <v>9</v>
      </c>
      <c r="E3">
        <v>5</v>
      </c>
      <c r="F3" s="2">
        <v>8159.96</v>
      </c>
      <c r="G3" s="2">
        <f t="shared" ref="G3:G66" si="0">E3*F3</f>
        <v>40799.800000000003</v>
      </c>
      <c r="H3" t="s">
        <v>13</v>
      </c>
      <c r="I3" s="14" t="str">
        <f t="shared" ref="I3:I33" si="1">IF(G3&gt;=100000,G3*VLOOKUP(H3,$L$1:$M$7,2,FALSE),"No Discount")</f>
        <v>No Discount</v>
      </c>
      <c r="L3" t="s">
        <v>26</v>
      </c>
      <c r="M3" s="8">
        <v>0.05</v>
      </c>
    </row>
    <row r="4" spans="1:13" x14ac:dyDescent="0.35">
      <c r="A4" s="1">
        <v>45664</v>
      </c>
      <c r="B4" t="s">
        <v>28</v>
      </c>
      <c r="C4" t="s">
        <v>18</v>
      </c>
      <c r="D4" t="s">
        <v>9</v>
      </c>
      <c r="E4">
        <v>3</v>
      </c>
      <c r="F4" s="2">
        <v>0</v>
      </c>
      <c r="G4" s="2">
        <f t="shared" si="0"/>
        <v>0</v>
      </c>
      <c r="H4" t="s">
        <v>17</v>
      </c>
      <c r="I4" s="14" t="str">
        <f t="shared" si="1"/>
        <v>No Discount</v>
      </c>
      <c r="L4" t="s">
        <v>16</v>
      </c>
      <c r="M4" s="8">
        <v>0.06</v>
      </c>
    </row>
    <row r="5" spans="1:13" x14ac:dyDescent="0.35">
      <c r="A5" s="1">
        <v>45665</v>
      </c>
      <c r="B5" t="s">
        <v>7</v>
      </c>
      <c r="C5" t="s">
        <v>8</v>
      </c>
      <c r="D5" t="s">
        <v>9</v>
      </c>
      <c r="E5">
        <v>0</v>
      </c>
      <c r="F5" s="2">
        <v>7020</v>
      </c>
      <c r="G5" s="2">
        <f t="shared" si="0"/>
        <v>0</v>
      </c>
      <c r="H5" t="s">
        <v>17</v>
      </c>
      <c r="I5" s="14" t="str">
        <f t="shared" si="1"/>
        <v>No Discount</v>
      </c>
      <c r="L5" t="s">
        <v>21</v>
      </c>
      <c r="M5" s="8">
        <v>7.0000000000000007E-2</v>
      </c>
    </row>
    <row r="6" spans="1:13" x14ac:dyDescent="0.35">
      <c r="A6" s="1">
        <v>45665</v>
      </c>
      <c r="B6" t="s">
        <v>7</v>
      </c>
      <c r="C6" t="s">
        <v>18</v>
      </c>
      <c r="D6" t="s">
        <v>9</v>
      </c>
      <c r="E6">
        <v>10</v>
      </c>
      <c r="F6" s="2">
        <v>13927.77</v>
      </c>
      <c r="G6" s="2">
        <f t="shared" si="0"/>
        <v>139277.70000000001</v>
      </c>
      <c r="H6" t="s">
        <v>13</v>
      </c>
      <c r="I6" s="14">
        <f t="shared" si="1"/>
        <v>11142.216</v>
      </c>
      <c r="L6" t="s">
        <v>13</v>
      </c>
      <c r="M6" s="8">
        <v>0.08</v>
      </c>
    </row>
    <row r="7" spans="1:13" x14ac:dyDescent="0.35">
      <c r="A7" s="1">
        <v>45667</v>
      </c>
      <c r="B7" t="s">
        <v>25</v>
      </c>
      <c r="C7" t="s">
        <v>24</v>
      </c>
      <c r="D7" t="s">
        <v>11</v>
      </c>
      <c r="E7">
        <v>5</v>
      </c>
      <c r="F7" s="2">
        <v>0</v>
      </c>
      <c r="G7" s="2">
        <f t="shared" si="0"/>
        <v>0</v>
      </c>
      <c r="H7" t="s">
        <v>21</v>
      </c>
      <c r="I7" s="14" t="str">
        <f t="shared" si="1"/>
        <v>No Discount</v>
      </c>
      <c r="L7" t="s">
        <v>19</v>
      </c>
      <c r="M7" s="8">
        <v>0</v>
      </c>
    </row>
    <row r="8" spans="1:13" x14ac:dyDescent="0.35">
      <c r="A8" s="1">
        <v>45667</v>
      </c>
      <c r="B8" t="s">
        <v>20</v>
      </c>
      <c r="C8" t="s">
        <v>19</v>
      </c>
      <c r="D8" t="s">
        <v>9</v>
      </c>
      <c r="E8">
        <v>10</v>
      </c>
      <c r="F8" s="2">
        <v>13767.94</v>
      </c>
      <c r="G8" s="2">
        <f t="shared" si="0"/>
        <v>137679.4</v>
      </c>
      <c r="H8" t="s">
        <v>17</v>
      </c>
      <c r="I8" s="14">
        <f t="shared" si="1"/>
        <v>5507.1759999999995</v>
      </c>
    </row>
    <row r="9" spans="1:13" x14ac:dyDescent="0.35">
      <c r="A9" s="1">
        <v>45668</v>
      </c>
      <c r="B9" t="s">
        <v>28</v>
      </c>
      <c r="C9" t="s">
        <v>12</v>
      </c>
      <c r="D9" t="s">
        <v>9</v>
      </c>
      <c r="E9">
        <v>1</v>
      </c>
      <c r="F9" s="2">
        <v>12658.08</v>
      </c>
      <c r="G9" s="2">
        <f t="shared" si="0"/>
        <v>12658.08</v>
      </c>
      <c r="H9" t="s">
        <v>13</v>
      </c>
      <c r="I9" s="14" t="str">
        <f t="shared" si="1"/>
        <v>No Discount</v>
      </c>
      <c r="L9" s="10"/>
      <c r="M9" s="10"/>
    </row>
    <row r="10" spans="1:13" x14ac:dyDescent="0.35">
      <c r="A10" s="1">
        <v>45668</v>
      </c>
      <c r="B10" t="s">
        <v>28</v>
      </c>
      <c r="C10" t="s">
        <v>14</v>
      </c>
      <c r="D10" t="s">
        <v>15</v>
      </c>
      <c r="E10">
        <v>5</v>
      </c>
      <c r="F10" s="2">
        <v>0</v>
      </c>
      <c r="G10" s="2">
        <f t="shared" si="0"/>
        <v>0</v>
      </c>
      <c r="H10" t="s">
        <v>16</v>
      </c>
      <c r="I10" s="14" t="str">
        <f t="shared" si="1"/>
        <v>No Discount</v>
      </c>
      <c r="L10" s="6"/>
    </row>
    <row r="11" spans="1:13" x14ac:dyDescent="0.35">
      <c r="A11" s="1">
        <v>45669</v>
      </c>
      <c r="B11" t="s">
        <v>29</v>
      </c>
      <c r="C11" t="s">
        <v>10</v>
      </c>
      <c r="D11" t="s">
        <v>11</v>
      </c>
      <c r="E11">
        <v>2</v>
      </c>
      <c r="F11" s="2">
        <v>0</v>
      </c>
      <c r="G11" s="2">
        <f t="shared" si="0"/>
        <v>0</v>
      </c>
      <c r="H11" t="s">
        <v>13</v>
      </c>
      <c r="I11" s="14" t="str">
        <f t="shared" si="1"/>
        <v>No Discount</v>
      </c>
    </row>
    <row r="12" spans="1:13" x14ac:dyDescent="0.35">
      <c r="A12" s="1">
        <v>45670</v>
      </c>
      <c r="B12" t="s">
        <v>7</v>
      </c>
      <c r="C12" t="s">
        <v>18</v>
      </c>
      <c r="D12" t="s">
        <v>9</v>
      </c>
      <c r="E12">
        <v>5</v>
      </c>
      <c r="F12" s="2">
        <v>0</v>
      </c>
      <c r="G12" s="2">
        <f t="shared" si="0"/>
        <v>0</v>
      </c>
      <c r="H12" t="s">
        <v>21</v>
      </c>
      <c r="I12" s="14" t="str">
        <f t="shared" si="1"/>
        <v>No Discount</v>
      </c>
      <c r="J12" s="10"/>
      <c r="K12" s="10"/>
    </row>
    <row r="13" spans="1:13" x14ac:dyDescent="0.35">
      <c r="A13" s="1">
        <v>45672</v>
      </c>
      <c r="B13" t="s">
        <v>30</v>
      </c>
      <c r="C13" t="s">
        <v>14</v>
      </c>
      <c r="D13" t="s">
        <v>15</v>
      </c>
      <c r="E13">
        <v>1</v>
      </c>
      <c r="F13" s="2">
        <v>91767.26</v>
      </c>
      <c r="G13" s="2">
        <f t="shared" si="0"/>
        <v>91767.26</v>
      </c>
      <c r="H13" t="s">
        <v>21</v>
      </c>
      <c r="I13" s="14" t="str">
        <f t="shared" si="1"/>
        <v>No Discount</v>
      </c>
    </row>
    <row r="14" spans="1:13" x14ac:dyDescent="0.35">
      <c r="A14" s="1">
        <v>45672</v>
      </c>
      <c r="B14" t="s">
        <v>31</v>
      </c>
      <c r="C14" t="s">
        <v>23</v>
      </c>
      <c r="D14" t="s">
        <v>11</v>
      </c>
      <c r="E14">
        <v>-1</v>
      </c>
      <c r="F14" s="2">
        <v>195995.82</v>
      </c>
      <c r="G14" s="2">
        <f t="shared" si="0"/>
        <v>-195995.82</v>
      </c>
      <c r="H14" t="s">
        <v>26</v>
      </c>
      <c r="I14" s="14" t="str">
        <f t="shared" si="1"/>
        <v>No Discount</v>
      </c>
    </row>
    <row r="15" spans="1:13" x14ac:dyDescent="0.35">
      <c r="A15" s="1">
        <v>45673</v>
      </c>
      <c r="B15" t="s">
        <v>7</v>
      </c>
      <c r="C15" t="s">
        <v>18</v>
      </c>
      <c r="D15" t="s">
        <v>9</v>
      </c>
      <c r="E15">
        <v>7</v>
      </c>
      <c r="F15" s="2">
        <v>13189.05</v>
      </c>
      <c r="G15" s="2">
        <f t="shared" si="0"/>
        <v>92323.349999999991</v>
      </c>
      <c r="H15" t="s">
        <v>21</v>
      </c>
      <c r="I15" s="14" t="str">
        <f t="shared" si="1"/>
        <v>No Discount</v>
      </c>
    </row>
    <row r="16" spans="1:13" x14ac:dyDescent="0.35">
      <c r="A16" s="1">
        <v>45675</v>
      </c>
      <c r="B16" t="s">
        <v>29</v>
      </c>
      <c r="C16" t="s">
        <v>22</v>
      </c>
      <c r="D16" t="s">
        <v>15</v>
      </c>
      <c r="E16">
        <v>2</v>
      </c>
      <c r="F16" s="2">
        <v>44765.47</v>
      </c>
      <c r="G16" s="2">
        <f t="shared" si="0"/>
        <v>89530.94</v>
      </c>
      <c r="H16" t="s">
        <v>17</v>
      </c>
      <c r="I16" s="14" t="str">
        <f t="shared" si="1"/>
        <v>No Discount</v>
      </c>
    </row>
    <row r="17" spans="1:9" x14ac:dyDescent="0.35">
      <c r="A17" s="1">
        <v>45675</v>
      </c>
      <c r="B17" t="s">
        <v>31</v>
      </c>
      <c r="C17" t="s">
        <v>14</v>
      </c>
      <c r="D17" t="s">
        <v>15</v>
      </c>
      <c r="E17">
        <v>4</v>
      </c>
      <c r="F17" s="2">
        <v>90133.86</v>
      </c>
      <c r="G17" s="2">
        <f t="shared" si="0"/>
        <v>360535.44</v>
      </c>
      <c r="H17" t="s">
        <v>26</v>
      </c>
      <c r="I17" s="14">
        <f t="shared" si="1"/>
        <v>18026.772000000001</v>
      </c>
    </row>
    <row r="18" spans="1:9" x14ac:dyDescent="0.35">
      <c r="A18" s="1">
        <v>45676</v>
      </c>
      <c r="B18" t="s">
        <v>31</v>
      </c>
      <c r="C18" t="s">
        <v>18</v>
      </c>
      <c r="D18" t="s">
        <v>9</v>
      </c>
      <c r="E18">
        <v>5</v>
      </c>
      <c r="F18" s="2">
        <v>16952.41</v>
      </c>
      <c r="G18" s="2">
        <f t="shared" si="0"/>
        <v>84762.05</v>
      </c>
      <c r="H18" t="s">
        <v>13</v>
      </c>
      <c r="I18" s="14" t="str">
        <f t="shared" si="1"/>
        <v>No Discount</v>
      </c>
    </row>
    <row r="19" spans="1:9" x14ac:dyDescent="0.35">
      <c r="A19" s="1">
        <v>45680</v>
      </c>
      <c r="B19" t="s">
        <v>29</v>
      </c>
      <c r="C19" t="s">
        <v>23</v>
      </c>
      <c r="D19" t="s">
        <v>11</v>
      </c>
      <c r="E19">
        <v>10</v>
      </c>
      <c r="F19" s="2">
        <v>193020.41</v>
      </c>
      <c r="G19" s="2">
        <f t="shared" si="0"/>
        <v>1930204.1</v>
      </c>
      <c r="H19" t="s">
        <v>17</v>
      </c>
      <c r="I19" s="14">
        <f t="shared" si="1"/>
        <v>77208.164000000004</v>
      </c>
    </row>
    <row r="20" spans="1:9" x14ac:dyDescent="0.35">
      <c r="A20" s="1">
        <v>45680</v>
      </c>
      <c r="B20" t="s">
        <v>7</v>
      </c>
      <c r="C20" t="s">
        <v>24</v>
      </c>
      <c r="D20" t="s">
        <v>11</v>
      </c>
      <c r="E20">
        <v>0</v>
      </c>
      <c r="F20" s="2">
        <v>314132.18</v>
      </c>
      <c r="G20" s="2">
        <f t="shared" si="0"/>
        <v>0</v>
      </c>
      <c r="H20" t="s">
        <v>17</v>
      </c>
      <c r="I20" s="14" t="str">
        <f t="shared" si="1"/>
        <v>No Discount</v>
      </c>
    </row>
    <row r="21" spans="1:9" x14ac:dyDescent="0.35">
      <c r="A21" s="1">
        <v>45680</v>
      </c>
      <c r="B21" t="s">
        <v>30</v>
      </c>
      <c r="C21" t="s">
        <v>14</v>
      </c>
      <c r="D21" t="s">
        <v>15</v>
      </c>
      <c r="E21">
        <v>7</v>
      </c>
      <c r="F21" s="2">
        <v>87243.92</v>
      </c>
      <c r="G21" s="2">
        <f t="shared" si="0"/>
        <v>610707.43999999994</v>
      </c>
      <c r="H21" t="s">
        <v>19</v>
      </c>
      <c r="I21" s="14">
        <f t="shared" si="1"/>
        <v>0</v>
      </c>
    </row>
    <row r="22" spans="1:9" x14ac:dyDescent="0.35">
      <c r="A22" s="1">
        <v>45681</v>
      </c>
      <c r="B22" t="s">
        <v>29</v>
      </c>
      <c r="C22" t="s">
        <v>8</v>
      </c>
      <c r="D22" t="s">
        <v>9</v>
      </c>
      <c r="E22">
        <v>1</v>
      </c>
      <c r="F22" s="2">
        <v>0</v>
      </c>
      <c r="G22" s="2">
        <f t="shared" si="0"/>
        <v>0</v>
      </c>
      <c r="H22" t="s">
        <v>17</v>
      </c>
      <c r="I22" s="14" t="str">
        <f t="shared" si="1"/>
        <v>No Discount</v>
      </c>
    </row>
    <row r="23" spans="1:9" x14ac:dyDescent="0.35">
      <c r="A23" s="1">
        <v>45681</v>
      </c>
      <c r="B23" t="s">
        <v>25</v>
      </c>
      <c r="C23" t="s">
        <v>14</v>
      </c>
      <c r="D23" t="s">
        <v>15</v>
      </c>
      <c r="E23">
        <v>5</v>
      </c>
      <c r="F23" s="2">
        <v>79645.63</v>
      </c>
      <c r="G23" s="2">
        <f t="shared" si="0"/>
        <v>398228.15</v>
      </c>
      <c r="H23" t="s">
        <v>17</v>
      </c>
      <c r="I23" s="14">
        <f t="shared" si="1"/>
        <v>15929.126000000002</v>
      </c>
    </row>
    <row r="24" spans="1:9" x14ac:dyDescent="0.35">
      <c r="A24" s="1">
        <v>45682</v>
      </c>
      <c r="B24" t="s">
        <v>30</v>
      </c>
      <c r="C24" t="s">
        <v>22</v>
      </c>
      <c r="D24" t="s">
        <v>15</v>
      </c>
      <c r="E24">
        <v>3</v>
      </c>
      <c r="F24" s="2">
        <v>39663.14</v>
      </c>
      <c r="G24" s="2">
        <f t="shared" si="0"/>
        <v>118989.42</v>
      </c>
      <c r="H24" t="s">
        <v>13</v>
      </c>
      <c r="I24" s="14">
        <f t="shared" si="1"/>
        <v>9519.1535999999996</v>
      </c>
    </row>
    <row r="25" spans="1:9" x14ac:dyDescent="0.35">
      <c r="A25" s="1">
        <v>45685</v>
      </c>
      <c r="B25" t="s">
        <v>27</v>
      </c>
      <c r="C25" t="s">
        <v>14</v>
      </c>
      <c r="D25" t="s">
        <v>15</v>
      </c>
      <c r="E25">
        <v>8</v>
      </c>
      <c r="F25" s="2">
        <v>76173.37</v>
      </c>
      <c r="G25" s="2">
        <f t="shared" si="0"/>
        <v>609386.96</v>
      </c>
      <c r="H25" t="s">
        <v>16</v>
      </c>
      <c r="I25" s="14">
        <f t="shared" si="1"/>
        <v>36563.217599999996</v>
      </c>
    </row>
    <row r="26" spans="1:9" x14ac:dyDescent="0.35">
      <c r="A26" s="1">
        <v>45685</v>
      </c>
      <c r="B26" t="s">
        <v>25</v>
      </c>
      <c r="C26" t="s">
        <v>18</v>
      </c>
      <c r="D26" t="s">
        <v>9</v>
      </c>
      <c r="E26">
        <v>9</v>
      </c>
      <c r="F26" s="2">
        <v>0</v>
      </c>
      <c r="G26" s="2">
        <f t="shared" si="0"/>
        <v>0</v>
      </c>
      <c r="H26" t="s">
        <v>21</v>
      </c>
      <c r="I26" s="14" t="str">
        <f t="shared" si="1"/>
        <v>No Discount</v>
      </c>
    </row>
    <row r="27" spans="1:9" x14ac:dyDescent="0.35">
      <c r="A27" s="1">
        <v>45685</v>
      </c>
      <c r="B27" t="s">
        <v>29</v>
      </c>
      <c r="C27" t="s">
        <v>24</v>
      </c>
      <c r="D27" t="s">
        <v>11</v>
      </c>
      <c r="E27">
        <v>5</v>
      </c>
      <c r="F27" s="2">
        <v>388950.08</v>
      </c>
      <c r="G27" s="2">
        <f t="shared" si="0"/>
        <v>1944750.4000000001</v>
      </c>
      <c r="H27" t="s">
        <v>16</v>
      </c>
      <c r="I27" s="14">
        <f t="shared" si="1"/>
        <v>116685.024</v>
      </c>
    </row>
    <row r="28" spans="1:9" x14ac:dyDescent="0.35">
      <c r="A28" s="1">
        <v>45687</v>
      </c>
      <c r="B28" t="s">
        <v>7</v>
      </c>
      <c r="C28" t="s">
        <v>24</v>
      </c>
      <c r="D28" t="s">
        <v>11</v>
      </c>
      <c r="E28">
        <v>5</v>
      </c>
      <c r="F28" s="2">
        <v>0</v>
      </c>
      <c r="G28" s="2">
        <f t="shared" si="0"/>
        <v>0</v>
      </c>
      <c r="H28" t="s">
        <v>17</v>
      </c>
      <c r="I28" s="14" t="str">
        <f t="shared" si="1"/>
        <v>No Discount</v>
      </c>
    </row>
    <row r="29" spans="1:9" x14ac:dyDescent="0.35">
      <c r="A29" s="1">
        <v>45687</v>
      </c>
      <c r="B29" t="s">
        <v>20</v>
      </c>
      <c r="C29" t="s">
        <v>23</v>
      </c>
      <c r="D29" t="s">
        <v>11</v>
      </c>
      <c r="E29">
        <v>7</v>
      </c>
      <c r="F29" s="2">
        <v>179016.2</v>
      </c>
      <c r="G29" s="2">
        <f t="shared" si="0"/>
        <v>1253113.4000000001</v>
      </c>
      <c r="H29" t="s">
        <v>19</v>
      </c>
      <c r="I29" s="14">
        <f t="shared" si="1"/>
        <v>0</v>
      </c>
    </row>
    <row r="30" spans="1:9" x14ac:dyDescent="0.35">
      <c r="A30" s="1">
        <v>45688</v>
      </c>
      <c r="B30" t="s">
        <v>28</v>
      </c>
      <c r="C30" t="s">
        <v>24</v>
      </c>
      <c r="D30" t="s">
        <v>11</v>
      </c>
      <c r="E30">
        <v>5</v>
      </c>
      <c r="F30" s="2">
        <v>383639.73</v>
      </c>
      <c r="G30" s="2">
        <f t="shared" si="0"/>
        <v>1918198.65</v>
      </c>
      <c r="H30" t="s">
        <v>13</v>
      </c>
      <c r="I30" s="14">
        <f t="shared" si="1"/>
        <v>153455.89199999999</v>
      </c>
    </row>
    <row r="31" spans="1:9" x14ac:dyDescent="0.35">
      <c r="A31" s="1">
        <v>45689</v>
      </c>
      <c r="B31" t="s">
        <v>25</v>
      </c>
      <c r="C31" t="s">
        <v>12</v>
      </c>
      <c r="D31" t="s">
        <v>9</v>
      </c>
      <c r="E31">
        <v>10</v>
      </c>
      <c r="F31" s="2">
        <v>11105.06</v>
      </c>
      <c r="G31" s="2">
        <f t="shared" si="0"/>
        <v>111050.59999999999</v>
      </c>
      <c r="H31" t="s">
        <v>13</v>
      </c>
      <c r="I31" s="14">
        <f t="shared" si="1"/>
        <v>8884.0479999999989</v>
      </c>
    </row>
    <row r="32" spans="1:9" x14ac:dyDescent="0.35">
      <c r="A32" s="1">
        <v>45690</v>
      </c>
      <c r="B32" t="s">
        <v>31</v>
      </c>
      <c r="C32" t="s">
        <v>8</v>
      </c>
      <c r="D32" t="s">
        <v>9</v>
      </c>
      <c r="E32">
        <v>7</v>
      </c>
      <c r="F32" s="2">
        <v>8009.15</v>
      </c>
      <c r="G32" s="2">
        <f t="shared" si="0"/>
        <v>56064.049999999996</v>
      </c>
      <c r="H32" t="s">
        <v>16</v>
      </c>
      <c r="I32" s="14" t="str">
        <f t="shared" si="1"/>
        <v>No Discount</v>
      </c>
    </row>
    <row r="33" spans="1:9" x14ac:dyDescent="0.35">
      <c r="A33" s="1">
        <v>45690</v>
      </c>
      <c r="B33" t="s">
        <v>20</v>
      </c>
      <c r="C33" t="s">
        <v>24</v>
      </c>
      <c r="D33" t="s">
        <v>11</v>
      </c>
      <c r="E33">
        <v>3</v>
      </c>
      <c r="F33" s="2">
        <v>321202.15999999997</v>
      </c>
      <c r="G33" s="2">
        <f t="shared" si="0"/>
        <v>963606.48</v>
      </c>
      <c r="H33" t="s">
        <v>17</v>
      </c>
      <c r="I33" s="14">
        <f t="shared" si="1"/>
        <v>38544.2592</v>
      </c>
    </row>
    <row r="34" spans="1:9" x14ac:dyDescent="0.35">
      <c r="A34" s="1">
        <v>45691</v>
      </c>
      <c r="B34" t="s">
        <v>25</v>
      </c>
      <c r="C34" t="s">
        <v>18</v>
      </c>
      <c r="D34" t="s">
        <v>9</v>
      </c>
      <c r="E34">
        <v>2</v>
      </c>
      <c r="F34" s="2">
        <v>12963.47</v>
      </c>
      <c r="G34" s="2">
        <f t="shared" si="0"/>
        <v>25926.94</v>
      </c>
      <c r="H34" t="s">
        <v>17</v>
      </c>
      <c r="I34" s="14" t="str">
        <f t="shared" ref="I34:I65" si="2">IF(G34&gt;=100000,G34*VLOOKUP(H34,$L$1:$M$7,2,FALSE),"No Discount")</f>
        <v>No Discount</v>
      </c>
    </row>
    <row r="35" spans="1:9" x14ac:dyDescent="0.35">
      <c r="A35" s="1">
        <v>45692</v>
      </c>
      <c r="B35" t="s">
        <v>20</v>
      </c>
      <c r="C35" t="s">
        <v>18</v>
      </c>
      <c r="D35" t="s">
        <v>9</v>
      </c>
      <c r="E35">
        <v>10</v>
      </c>
      <c r="F35" s="2">
        <v>15291.86</v>
      </c>
      <c r="G35" s="2">
        <f t="shared" si="0"/>
        <v>152918.6</v>
      </c>
      <c r="H35" t="s">
        <v>21</v>
      </c>
      <c r="I35" s="14">
        <f t="shared" si="2"/>
        <v>10704.302000000001</v>
      </c>
    </row>
    <row r="36" spans="1:9" x14ac:dyDescent="0.35">
      <c r="A36" s="1">
        <v>45692</v>
      </c>
      <c r="B36" t="s">
        <v>7</v>
      </c>
      <c r="C36" t="s">
        <v>19</v>
      </c>
      <c r="D36" t="s">
        <v>15</v>
      </c>
      <c r="E36">
        <v>3</v>
      </c>
      <c r="F36" s="2">
        <v>0</v>
      </c>
      <c r="G36" s="2">
        <f t="shared" si="0"/>
        <v>0</v>
      </c>
      <c r="H36" t="s">
        <v>21</v>
      </c>
      <c r="I36" s="14" t="str">
        <f t="shared" si="2"/>
        <v>No Discount</v>
      </c>
    </row>
    <row r="37" spans="1:9" x14ac:dyDescent="0.35">
      <c r="A37" s="1">
        <v>45695</v>
      </c>
      <c r="B37" t="s">
        <v>20</v>
      </c>
      <c r="C37" t="s">
        <v>12</v>
      </c>
      <c r="D37" t="s">
        <v>9</v>
      </c>
      <c r="E37">
        <v>3</v>
      </c>
      <c r="F37" s="2">
        <v>12524.88</v>
      </c>
      <c r="G37" s="2">
        <f t="shared" si="0"/>
        <v>37574.639999999999</v>
      </c>
      <c r="H37" t="s">
        <v>17</v>
      </c>
      <c r="I37" s="14" t="str">
        <f t="shared" si="2"/>
        <v>No Discount</v>
      </c>
    </row>
    <row r="38" spans="1:9" x14ac:dyDescent="0.35">
      <c r="A38" s="1">
        <v>45695</v>
      </c>
      <c r="B38" t="s">
        <v>29</v>
      </c>
      <c r="C38" t="s">
        <v>14</v>
      </c>
      <c r="D38" t="s">
        <v>15</v>
      </c>
      <c r="E38">
        <v>5</v>
      </c>
      <c r="F38" s="2">
        <v>85057.33</v>
      </c>
      <c r="G38" s="2">
        <f t="shared" si="0"/>
        <v>425286.65</v>
      </c>
      <c r="H38" t="s">
        <v>17</v>
      </c>
      <c r="I38" s="14">
        <f t="shared" si="2"/>
        <v>17011.466</v>
      </c>
    </row>
    <row r="39" spans="1:9" x14ac:dyDescent="0.35">
      <c r="A39" s="1">
        <v>45697</v>
      </c>
      <c r="B39" t="s">
        <v>7</v>
      </c>
      <c r="C39" t="s">
        <v>19</v>
      </c>
      <c r="D39" t="s">
        <v>15</v>
      </c>
      <c r="E39">
        <v>5</v>
      </c>
      <c r="F39" s="2">
        <v>73299.990000000005</v>
      </c>
      <c r="G39" s="2">
        <f t="shared" si="0"/>
        <v>366499.95</v>
      </c>
      <c r="H39" t="s">
        <v>17</v>
      </c>
      <c r="I39" s="14">
        <f t="shared" si="2"/>
        <v>14659.998000000001</v>
      </c>
    </row>
    <row r="40" spans="1:9" x14ac:dyDescent="0.35">
      <c r="A40" s="1">
        <v>45697</v>
      </c>
      <c r="B40" t="s">
        <v>30</v>
      </c>
      <c r="C40" t="s">
        <v>8</v>
      </c>
      <c r="D40" t="s">
        <v>9</v>
      </c>
      <c r="E40">
        <v>9</v>
      </c>
      <c r="F40" s="2">
        <v>7040.92</v>
      </c>
      <c r="G40" s="2">
        <f t="shared" si="0"/>
        <v>63368.28</v>
      </c>
      <c r="H40" t="s">
        <v>17</v>
      </c>
      <c r="I40" s="14" t="str">
        <f t="shared" si="2"/>
        <v>No Discount</v>
      </c>
    </row>
    <row r="41" spans="1:9" x14ac:dyDescent="0.35">
      <c r="A41" s="1">
        <v>45697</v>
      </c>
      <c r="B41" t="s">
        <v>27</v>
      </c>
      <c r="C41" t="s">
        <v>18</v>
      </c>
      <c r="D41" t="s">
        <v>9</v>
      </c>
      <c r="E41">
        <v>6</v>
      </c>
      <c r="F41" s="2">
        <v>13062.14</v>
      </c>
      <c r="G41" s="2">
        <f t="shared" si="0"/>
        <v>78372.84</v>
      </c>
      <c r="H41" t="s">
        <v>17</v>
      </c>
      <c r="I41" s="14" t="str">
        <f t="shared" si="2"/>
        <v>No Discount</v>
      </c>
    </row>
    <row r="42" spans="1:9" x14ac:dyDescent="0.35">
      <c r="A42" s="1">
        <v>45698</v>
      </c>
      <c r="B42" t="s">
        <v>25</v>
      </c>
      <c r="C42" t="s">
        <v>14</v>
      </c>
      <c r="D42" t="s">
        <v>15</v>
      </c>
      <c r="E42">
        <v>2</v>
      </c>
      <c r="F42" s="2">
        <v>76356.73</v>
      </c>
      <c r="G42" s="2">
        <f t="shared" si="0"/>
        <v>152713.46</v>
      </c>
      <c r="H42" t="s">
        <v>26</v>
      </c>
      <c r="I42" s="14">
        <f t="shared" si="2"/>
        <v>7635.6729999999998</v>
      </c>
    </row>
    <row r="43" spans="1:9" x14ac:dyDescent="0.35">
      <c r="A43" s="1">
        <v>45698</v>
      </c>
      <c r="B43" t="s">
        <v>29</v>
      </c>
      <c r="C43" t="s">
        <v>18</v>
      </c>
      <c r="D43" t="s">
        <v>9</v>
      </c>
      <c r="E43">
        <v>1</v>
      </c>
      <c r="F43" s="2">
        <v>13482.82</v>
      </c>
      <c r="G43" s="2">
        <f t="shared" si="0"/>
        <v>13482.82</v>
      </c>
      <c r="H43" t="s">
        <v>21</v>
      </c>
      <c r="I43" s="14" t="str">
        <f t="shared" si="2"/>
        <v>No Discount</v>
      </c>
    </row>
    <row r="44" spans="1:9" x14ac:dyDescent="0.35">
      <c r="A44" s="1">
        <v>45699</v>
      </c>
      <c r="B44" t="s">
        <v>20</v>
      </c>
      <c r="C44" t="s">
        <v>10</v>
      </c>
      <c r="D44" t="s">
        <v>11</v>
      </c>
      <c r="E44">
        <v>8</v>
      </c>
      <c r="F44" s="2">
        <v>105878.62</v>
      </c>
      <c r="G44" s="2">
        <f t="shared" si="0"/>
        <v>847028.96</v>
      </c>
      <c r="H44" t="s">
        <v>13</v>
      </c>
      <c r="I44" s="14">
        <f t="shared" si="2"/>
        <v>67762.316800000001</v>
      </c>
    </row>
    <row r="45" spans="1:9" x14ac:dyDescent="0.35">
      <c r="A45" s="1">
        <v>45699</v>
      </c>
      <c r="B45" t="s">
        <v>7</v>
      </c>
      <c r="C45" t="s">
        <v>12</v>
      </c>
      <c r="D45" t="s">
        <v>9</v>
      </c>
      <c r="E45">
        <v>8</v>
      </c>
      <c r="F45" s="2">
        <v>11955.67</v>
      </c>
      <c r="G45" s="2">
        <f t="shared" si="0"/>
        <v>95645.36</v>
      </c>
      <c r="H45" t="s">
        <v>13</v>
      </c>
      <c r="I45" s="14" t="str">
        <f t="shared" si="2"/>
        <v>No Discount</v>
      </c>
    </row>
    <row r="46" spans="1:9" x14ac:dyDescent="0.35">
      <c r="A46" s="1">
        <v>45701</v>
      </c>
      <c r="B46" t="s">
        <v>30</v>
      </c>
      <c r="C46" t="s">
        <v>19</v>
      </c>
      <c r="D46" t="s">
        <v>11</v>
      </c>
      <c r="E46">
        <v>7</v>
      </c>
      <c r="F46" s="2">
        <v>0</v>
      </c>
      <c r="G46" s="2">
        <f t="shared" si="0"/>
        <v>0</v>
      </c>
      <c r="H46" t="s">
        <v>17</v>
      </c>
      <c r="I46" s="14" t="str">
        <f t="shared" si="2"/>
        <v>No Discount</v>
      </c>
    </row>
    <row r="47" spans="1:9" x14ac:dyDescent="0.35">
      <c r="A47" s="1">
        <v>45703</v>
      </c>
      <c r="B47" t="s">
        <v>28</v>
      </c>
      <c r="C47" t="s">
        <v>12</v>
      </c>
      <c r="D47" t="s">
        <v>9</v>
      </c>
      <c r="E47">
        <v>4</v>
      </c>
      <c r="F47" s="2">
        <v>11190.13</v>
      </c>
      <c r="G47" s="2">
        <f t="shared" si="0"/>
        <v>44760.52</v>
      </c>
      <c r="H47" t="s">
        <v>21</v>
      </c>
      <c r="I47" s="14" t="str">
        <f t="shared" si="2"/>
        <v>No Discount</v>
      </c>
    </row>
    <row r="48" spans="1:9" x14ac:dyDescent="0.35">
      <c r="A48" s="1">
        <v>45704</v>
      </c>
      <c r="B48" t="s">
        <v>29</v>
      </c>
      <c r="C48" t="s">
        <v>22</v>
      </c>
      <c r="D48" t="s">
        <v>15</v>
      </c>
      <c r="E48">
        <v>4</v>
      </c>
      <c r="F48" s="2">
        <v>49789.24</v>
      </c>
      <c r="G48" s="2">
        <f t="shared" si="0"/>
        <v>199156.96</v>
      </c>
      <c r="H48" t="s">
        <v>19</v>
      </c>
      <c r="I48" s="14">
        <f t="shared" si="2"/>
        <v>0</v>
      </c>
    </row>
    <row r="49" spans="1:9" x14ac:dyDescent="0.35">
      <c r="A49" s="1">
        <v>45706</v>
      </c>
      <c r="B49" t="s">
        <v>27</v>
      </c>
      <c r="C49" t="s">
        <v>8</v>
      </c>
      <c r="D49" t="s">
        <v>9</v>
      </c>
      <c r="E49">
        <v>10</v>
      </c>
      <c r="F49" s="2">
        <v>7286.17</v>
      </c>
      <c r="G49" s="2">
        <f t="shared" si="0"/>
        <v>72861.7</v>
      </c>
      <c r="H49" t="s">
        <v>19</v>
      </c>
      <c r="I49" s="14" t="str">
        <f t="shared" si="2"/>
        <v>No Discount</v>
      </c>
    </row>
    <row r="50" spans="1:9" x14ac:dyDescent="0.35">
      <c r="A50" s="1">
        <v>45706</v>
      </c>
      <c r="B50" t="s">
        <v>25</v>
      </c>
      <c r="C50" t="s">
        <v>24</v>
      </c>
      <c r="D50" t="s">
        <v>11</v>
      </c>
      <c r="E50">
        <v>5</v>
      </c>
      <c r="F50" s="2">
        <v>316216.90999999997</v>
      </c>
      <c r="G50" s="2">
        <f t="shared" si="0"/>
        <v>1581084.5499999998</v>
      </c>
      <c r="H50" t="s">
        <v>17</v>
      </c>
      <c r="I50" s="14">
        <f t="shared" si="2"/>
        <v>63243.381999999991</v>
      </c>
    </row>
    <row r="51" spans="1:9" x14ac:dyDescent="0.35">
      <c r="A51" s="1">
        <v>45708</v>
      </c>
      <c r="B51" t="s">
        <v>30</v>
      </c>
      <c r="C51" t="s">
        <v>22</v>
      </c>
      <c r="D51" t="s">
        <v>15</v>
      </c>
      <c r="E51">
        <v>6</v>
      </c>
      <c r="F51" s="2">
        <v>0</v>
      </c>
      <c r="G51" s="2">
        <f t="shared" si="0"/>
        <v>0</v>
      </c>
      <c r="H51" t="s">
        <v>17</v>
      </c>
      <c r="I51" s="14" t="str">
        <f t="shared" si="2"/>
        <v>No Discount</v>
      </c>
    </row>
    <row r="52" spans="1:9" x14ac:dyDescent="0.35">
      <c r="A52" s="1">
        <v>45710</v>
      </c>
      <c r="B52" t="s">
        <v>27</v>
      </c>
      <c r="C52" t="s">
        <v>23</v>
      </c>
      <c r="D52" t="s">
        <v>11</v>
      </c>
      <c r="E52">
        <v>9</v>
      </c>
      <c r="F52" s="2">
        <v>0</v>
      </c>
      <c r="G52" s="2">
        <f t="shared" si="0"/>
        <v>0</v>
      </c>
      <c r="H52" t="s">
        <v>21</v>
      </c>
      <c r="I52" s="14" t="str">
        <f t="shared" si="2"/>
        <v>No Discount</v>
      </c>
    </row>
    <row r="53" spans="1:9" x14ac:dyDescent="0.35">
      <c r="A53" s="1">
        <v>45711</v>
      </c>
      <c r="B53" t="s">
        <v>30</v>
      </c>
      <c r="C53" t="s">
        <v>22</v>
      </c>
      <c r="D53" t="s">
        <v>15</v>
      </c>
      <c r="E53">
        <v>10</v>
      </c>
      <c r="F53" s="2">
        <v>0</v>
      </c>
      <c r="G53" s="2">
        <f t="shared" si="0"/>
        <v>0</v>
      </c>
      <c r="H53" t="s">
        <v>13</v>
      </c>
      <c r="I53" s="14" t="str">
        <f t="shared" si="2"/>
        <v>No Discount</v>
      </c>
    </row>
    <row r="54" spans="1:9" x14ac:dyDescent="0.35">
      <c r="A54" s="1">
        <v>45711</v>
      </c>
      <c r="B54" t="s">
        <v>20</v>
      </c>
      <c r="C54" t="s">
        <v>18</v>
      </c>
      <c r="D54" t="s">
        <v>9</v>
      </c>
      <c r="E54">
        <v>7</v>
      </c>
      <c r="F54" s="2">
        <v>13515.87</v>
      </c>
      <c r="G54" s="2">
        <f t="shared" si="0"/>
        <v>94611.090000000011</v>
      </c>
      <c r="H54" t="s">
        <v>19</v>
      </c>
      <c r="I54" s="14" t="str">
        <f t="shared" si="2"/>
        <v>No Discount</v>
      </c>
    </row>
    <row r="55" spans="1:9" x14ac:dyDescent="0.35">
      <c r="A55" s="1">
        <v>45712</v>
      </c>
      <c r="B55" t="s">
        <v>28</v>
      </c>
      <c r="C55" t="s">
        <v>12</v>
      </c>
      <c r="D55" t="s">
        <v>9</v>
      </c>
      <c r="E55">
        <v>4</v>
      </c>
      <c r="F55" s="2">
        <v>13057.78</v>
      </c>
      <c r="G55" s="2">
        <f t="shared" si="0"/>
        <v>52231.12</v>
      </c>
      <c r="H55" t="s">
        <v>17</v>
      </c>
      <c r="I55" s="14" t="str">
        <f t="shared" si="2"/>
        <v>No Discount</v>
      </c>
    </row>
    <row r="56" spans="1:9" x14ac:dyDescent="0.35">
      <c r="A56" s="1">
        <v>45712</v>
      </c>
      <c r="B56" t="s">
        <v>31</v>
      </c>
      <c r="C56" t="s">
        <v>18</v>
      </c>
      <c r="D56" t="s">
        <v>9</v>
      </c>
      <c r="E56">
        <v>10</v>
      </c>
      <c r="F56" s="2">
        <v>15980.14</v>
      </c>
      <c r="G56" s="2">
        <f t="shared" si="0"/>
        <v>159801.4</v>
      </c>
      <c r="H56" t="s">
        <v>17</v>
      </c>
      <c r="I56" s="14">
        <f t="shared" si="2"/>
        <v>6392.0559999999996</v>
      </c>
    </row>
    <row r="57" spans="1:9" x14ac:dyDescent="0.35">
      <c r="A57" s="1">
        <v>45712</v>
      </c>
      <c r="B57" t="s">
        <v>28</v>
      </c>
      <c r="C57" t="s">
        <v>18</v>
      </c>
      <c r="D57" t="s">
        <v>9</v>
      </c>
      <c r="E57">
        <v>7</v>
      </c>
      <c r="F57" s="2">
        <v>16026.02</v>
      </c>
      <c r="G57" s="2">
        <f t="shared" si="0"/>
        <v>112182.14</v>
      </c>
      <c r="H57" t="s">
        <v>17</v>
      </c>
      <c r="I57" s="14">
        <f t="shared" si="2"/>
        <v>4487.2856000000002</v>
      </c>
    </row>
    <row r="58" spans="1:9" x14ac:dyDescent="0.35">
      <c r="A58" s="1">
        <v>45713</v>
      </c>
      <c r="B58" t="s">
        <v>28</v>
      </c>
      <c r="C58" t="s">
        <v>14</v>
      </c>
      <c r="D58" t="s">
        <v>15</v>
      </c>
      <c r="E58">
        <v>7</v>
      </c>
      <c r="F58" s="2">
        <v>80872.61</v>
      </c>
      <c r="G58" s="2">
        <f t="shared" si="0"/>
        <v>566108.27</v>
      </c>
      <c r="H58" t="s">
        <v>19</v>
      </c>
      <c r="I58" s="14">
        <f t="shared" si="2"/>
        <v>0</v>
      </c>
    </row>
    <row r="59" spans="1:9" x14ac:dyDescent="0.35">
      <c r="A59" s="1">
        <v>45714</v>
      </c>
      <c r="B59" t="s">
        <v>28</v>
      </c>
      <c r="C59" t="s">
        <v>10</v>
      </c>
      <c r="D59" t="s">
        <v>11</v>
      </c>
      <c r="E59">
        <v>2</v>
      </c>
      <c r="F59" s="2">
        <v>106607.48</v>
      </c>
      <c r="G59" s="2">
        <f t="shared" si="0"/>
        <v>213214.96</v>
      </c>
      <c r="H59" t="s">
        <v>26</v>
      </c>
      <c r="I59" s="14">
        <f t="shared" si="2"/>
        <v>10660.748</v>
      </c>
    </row>
    <row r="60" spans="1:9" x14ac:dyDescent="0.35">
      <c r="A60" s="1">
        <v>45715</v>
      </c>
      <c r="B60" t="s">
        <v>30</v>
      </c>
      <c r="C60" t="s">
        <v>18</v>
      </c>
      <c r="D60" t="s">
        <v>9</v>
      </c>
      <c r="E60">
        <v>1</v>
      </c>
      <c r="F60" s="2">
        <v>15976.72</v>
      </c>
      <c r="G60" s="2">
        <f t="shared" si="0"/>
        <v>15976.72</v>
      </c>
      <c r="H60" t="s">
        <v>26</v>
      </c>
      <c r="I60" s="14" t="str">
        <f t="shared" si="2"/>
        <v>No Discount</v>
      </c>
    </row>
    <row r="61" spans="1:9" x14ac:dyDescent="0.35">
      <c r="A61" s="1">
        <v>45716</v>
      </c>
      <c r="B61" t="s">
        <v>25</v>
      </c>
      <c r="C61" t="s">
        <v>10</v>
      </c>
      <c r="D61" t="s">
        <v>11</v>
      </c>
      <c r="E61">
        <v>6</v>
      </c>
      <c r="F61" s="2">
        <v>0</v>
      </c>
      <c r="G61" s="2">
        <f t="shared" si="0"/>
        <v>0</v>
      </c>
      <c r="H61" t="s">
        <v>17</v>
      </c>
      <c r="I61" s="14" t="str">
        <f t="shared" si="2"/>
        <v>No Discount</v>
      </c>
    </row>
    <row r="62" spans="1:9" x14ac:dyDescent="0.35">
      <c r="A62" s="1">
        <v>45717</v>
      </c>
      <c r="B62" t="s">
        <v>27</v>
      </c>
      <c r="C62" t="s">
        <v>12</v>
      </c>
      <c r="D62" t="s">
        <v>9</v>
      </c>
      <c r="E62">
        <v>4</v>
      </c>
      <c r="F62" s="2">
        <v>11884.61</v>
      </c>
      <c r="G62" s="2">
        <f t="shared" si="0"/>
        <v>47538.44</v>
      </c>
      <c r="H62" t="s">
        <v>16</v>
      </c>
      <c r="I62" s="14" t="str">
        <f t="shared" si="2"/>
        <v>No Discount</v>
      </c>
    </row>
    <row r="63" spans="1:9" x14ac:dyDescent="0.35">
      <c r="A63" s="1">
        <v>45719</v>
      </c>
      <c r="B63" t="s">
        <v>28</v>
      </c>
      <c r="C63" t="s">
        <v>18</v>
      </c>
      <c r="D63" t="s">
        <v>9</v>
      </c>
      <c r="E63">
        <v>2</v>
      </c>
      <c r="F63" s="2">
        <v>14934.23</v>
      </c>
      <c r="G63" s="2">
        <f t="shared" si="0"/>
        <v>29868.46</v>
      </c>
      <c r="H63" t="s">
        <v>16</v>
      </c>
      <c r="I63" s="14" t="str">
        <f t="shared" si="2"/>
        <v>No Discount</v>
      </c>
    </row>
    <row r="64" spans="1:9" x14ac:dyDescent="0.35">
      <c r="A64" s="1">
        <v>45720</v>
      </c>
      <c r="B64" t="s">
        <v>20</v>
      </c>
      <c r="C64" t="s">
        <v>18</v>
      </c>
      <c r="D64" t="s">
        <v>9</v>
      </c>
      <c r="E64">
        <v>3</v>
      </c>
      <c r="F64" s="2">
        <v>15792.03</v>
      </c>
      <c r="G64" s="2">
        <f t="shared" si="0"/>
        <v>47376.090000000004</v>
      </c>
      <c r="H64" t="s">
        <v>26</v>
      </c>
      <c r="I64" s="14" t="str">
        <f t="shared" si="2"/>
        <v>No Discount</v>
      </c>
    </row>
    <row r="65" spans="1:9" x14ac:dyDescent="0.35">
      <c r="A65" s="1">
        <v>45720</v>
      </c>
      <c r="B65" t="s">
        <v>27</v>
      </c>
      <c r="C65" t="s">
        <v>24</v>
      </c>
      <c r="D65" t="s">
        <v>11</v>
      </c>
      <c r="E65">
        <v>0</v>
      </c>
      <c r="F65" s="2">
        <v>383679.59</v>
      </c>
      <c r="G65" s="2">
        <f t="shared" si="0"/>
        <v>0</v>
      </c>
      <c r="H65" t="s">
        <v>17</v>
      </c>
      <c r="I65" s="14" t="str">
        <f t="shared" si="2"/>
        <v>No Discount</v>
      </c>
    </row>
    <row r="66" spans="1:9" x14ac:dyDescent="0.35">
      <c r="A66" s="1">
        <v>45720</v>
      </c>
      <c r="B66" t="s">
        <v>7</v>
      </c>
      <c r="C66" t="s">
        <v>24</v>
      </c>
      <c r="D66" t="s">
        <v>11</v>
      </c>
      <c r="E66">
        <v>6</v>
      </c>
      <c r="F66" s="2">
        <v>339552.57</v>
      </c>
      <c r="G66" s="2">
        <f t="shared" si="0"/>
        <v>2037315.42</v>
      </c>
      <c r="H66" t="s">
        <v>21</v>
      </c>
      <c r="I66" s="14">
        <f t="shared" ref="I66:I97" si="3">IF(G66&gt;=100000,G66*VLOOKUP(H66,$L$1:$M$7,2,FALSE),"No Discount")</f>
        <v>142612.07940000002</v>
      </c>
    </row>
    <row r="67" spans="1:9" x14ac:dyDescent="0.35">
      <c r="A67" s="1">
        <v>45721</v>
      </c>
      <c r="B67" t="s">
        <v>29</v>
      </c>
      <c r="C67" t="s">
        <v>18</v>
      </c>
      <c r="D67" t="s">
        <v>9</v>
      </c>
      <c r="E67">
        <v>1</v>
      </c>
      <c r="F67" s="2">
        <v>15886.27</v>
      </c>
      <c r="G67" s="2">
        <f t="shared" ref="G67:G130" si="4">E67*F67</f>
        <v>15886.27</v>
      </c>
      <c r="H67" t="s">
        <v>17</v>
      </c>
      <c r="I67" s="14" t="str">
        <f t="shared" si="3"/>
        <v>No Discount</v>
      </c>
    </row>
    <row r="68" spans="1:9" x14ac:dyDescent="0.35">
      <c r="A68" s="1">
        <v>45721</v>
      </c>
      <c r="B68" t="s">
        <v>25</v>
      </c>
      <c r="C68" t="s">
        <v>23</v>
      </c>
      <c r="D68" t="s">
        <v>11</v>
      </c>
      <c r="E68">
        <v>8</v>
      </c>
      <c r="F68" s="2">
        <v>0</v>
      </c>
      <c r="G68" s="2">
        <f t="shared" si="4"/>
        <v>0</v>
      </c>
      <c r="H68" t="s">
        <v>21</v>
      </c>
      <c r="I68" s="14" t="str">
        <f t="shared" si="3"/>
        <v>No Discount</v>
      </c>
    </row>
    <row r="69" spans="1:9" x14ac:dyDescent="0.35">
      <c r="A69" s="1">
        <v>45724</v>
      </c>
      <c r="B69" t="s">
        <v>30</v>
      </c>
      <c r="C69" t="s">
        <v>24</v>
      </c>
      <c r="D69" t="s">
        <v>11</v>
      </c>
      <c r="E69">
        <v>10</v>
      </c>
      <c r="F69" s="2">
        <v>0</v>
      </c>
      <c r="G69" s="2">
        <f t="shared" si="4"/>
        <v>0</v>
      </c>
      <c r="H69" t="s">
        <v>21</v>
      </c>
      <c r="I69" s="14" t="str">
        <f t="shared" si="3"/>
        <v>No Discount</v>
      </c>
    </row>
    <row r="70" spans="1:9" x14ac:dyDescent="0.35">
      <c r="A70" s="1">
        <v>45725</v>
      </c>
      <c r="B70" t="s">
        <v>31</v>
      </c>
      <c r="C70" t="s">
        <v>18</v>
      </c>
      <c r="D70" t="s">
        <v>9</v>
      </c>
      <c r="E70">
        <v>7</v>
      </c>
      <c r="F70" s="2">
        <v>17221.41</v>
      </c>
      <c r="G70" s="2">
        <f t="shared" si="4"/>
        <v>120549.87</v>
      </c>
      <c r="H70" t="s">
        <v>21</v>
      </c>
      <c r="I70" s="14">
        <f t="shared" si="3"/>
        <v>8438.4909000000007</v>
      </c>
    </row>
    <row r="71" spans="1:9" x14ac:dyDescent="0.35">
      <c r="A71" s="1">
        <v>45725</v>
      </c>
      <c r="B71" t="s">
        <v>25</v>
      </c>
      <c r="C71" t="s">
        <v>24</v>
      </c>
      <c r="D71" t="s">
        <v>11</v>
      </c>
      <c r="E71">
        <v>7</v>
      </c>
      <c r="F71" s="2">
        <v>335230.39</v>
      </c>
      <c r="G71" s="2">
        <f t="shared" si="4"/>
        <v>2346612.73</v>
      </c>
      <c r="H71" t="s">
        <v>26</v>
      </c>
      <c r="I71" s="14">
        <f t="shared" si="3"/>
        <v>117330.63650000001</v>
      </c>
    </row>
    <row r="72" spans="1:9" x14ac:dyDescent="0.35">
      <c r="A72" s="1">
        <v>45727</v>
      </c>
      <c r="B72" t="s">
        <v>29</v>
      </c>
      <c r="C72" t="s">
        <v>8</v>
      </c>
      <c r="D72" t="s">
        <v>9</v>
      </c>
      <c r="E72">
        <v>9</v>
      </c>
      <c r="F72" s="2">
        <v>0</v>
      </c>
      <c r="G72" s="2">
        <f t="shared" si="4"/>
        <v>0</v>
      </c>
      <c r="H72" t="s">
        <v>19</v>
      </c>
      <c r="I72" s="14" t="str">
        <f t="shared" si="3"/>
        <v>No Discount</v>
      </c>
    </row>
    <row r="73" spans="1:9" x14ac:dyDescent="0.35">
      <c r="A73" s="1">
        <v>45728</v>
      </c>
      <c r="B73" t="s">
        <v>30</v>
      </c>
      <c r="C73" t="s">
        <v>24</v>
      </c>
      <c r="D73" t="s">
        <v>11</v>
      </c>
      <c r="E73">
        <v>5</v>
      </c>
      <c r="F73" s="2">
        <v>374619.09</v>
      </c>
      <c r="G73" s="2">
        <f t="shared" si="4"/>
        <v>1873095.4500000002</v>
      </c>
      <c r="H73" t="s">
        <v>19</v>
      </c>
      <c r="I73" s="14">
        <f t="shared" si="3"/>
        <v>0</v>
      </c>
    </row>
    <row r="74" spans="1:9" x14ac:dyDescent="0.35">
      <c r="A74" s="1">
        <v>45728</v>
      </c>
      <c r="B74" t="s">
        <v>7</v>
      </c>
      <c r="C74" t="s">
        <v>24</v>
      </c>
      <c r="D74" t="s">
        <v>11</v>
      </c>
      <c r="E74">
        <v>1</v>
      </c>
      <c r="F74" s="2">
        <v>322447.65000000002</v>
      </c>
      <c r="G74" s="2">
        <f t="shared" si="4"/>
        <v>322447.65000000002</v>
      </c>
      <c r="H74" t="s">
        <v>13</v>
      </c>
      <c r="I74" s="14">
        <f t="shared" si="3"/>
        <v>25795.812000000002</v>
      </c>
    </row>
    <row r="75" spans="1:9" x14ac:dyDescent="0.35">
      <c r="A75" s="1">
        <v>45729</v>
      </c>
      <c r="B75" t="s">
        <v>29</v>
      </c>
      <c r="C75" t="s">
        <v>8</v>
      </c>
      <c r="D75" t="s">
        <v>9</v>
      </c>
      <c r="E75">
        <v>6</v>
      </c>
      <c r="F75" s="2">
        <v>9199.8700000000008</v>
      </c>
      <c r="G75" s="2">
        <f t="shared" si="4"/>
        <v>55199.22</v>
      </c>
      <c r="H75" t="s">
        <v>16</v>
      </c>
      <c r="I75" s="14" t="str">
        <f t="shared" si="3"/>
        <v>No Discount</v>
      </c>
    </row>
    <row r="76" spans="1:9" x14ac:dyDescent="0.35">
      <c r="A76" s="1">
        <v>45730</v>
      </c>
      <c r="B76" t="s">
        <v>29</v>
      </c>
      <c r="C76" t="s">
        <v>10</v>
      </c>
      <c r="D76" t="s">
        <v>11</v>
      </c>
      <c r="E76">
        <v>5</v>
      </c>
      <c r="F76" s="2">
        <v>0</v>
      </c>
      <c r="G76" s="2">
        <f t="shared" si="4"/>
        <v>0</v>
      </c>
      <c r="H76" t="s">
        <v>13</v>
      </c>
      <c r="I76" s="14" t="str">
        <f t="shared" si="3"/>
        <v>No Discount</v>
      </c>
    </row>
    <row r="77" spans="1:9" x14ac:dyDescent="0.35">
      <c r="A77" s="1">
        <v>45731</v>
      </c>
      <c r="B77" t="s">
        <v>20</v>
      </c>
      <c r="C77" t="s">
        <v>24</v>
      </c>
      <c r="D77" t="s">
        <v>11</v>
      </c>
      <c r="E77">
        <v>9</v>
      </c>
      <c r="F77" s="2">
        <v>303650.28999999998</v>
      </c>
      <c r="G77" s="2">
        <f t="shared" si="4"/>
        <v>2732852.61</v>
      </c>
      <c r="H77" t="s">
        <v>17</v>
      </c>
      <c r="I77" s="14">
        <f t="shared" si="3"/>
        <v>109314.1044</v>
      </c>
    </row>
    <row r="78" spans="1:9" x14ac:dyDescent="0.35">
      <c r="A78" s="1">
        <v>45731</v>
      </c>
      <c r="B78" t="s">
        <v>29</v>
      </c>
      <c r="C78" t="s">
        <v>18</v>
      </c>
      <c r="D78" t="s">
        <v>9</v>
      </c>
      <c r="E78">
        <v>3</v>
      </c>
      <c r="F78" s="2">
        <v>15469.86</v>
      </c>
      <c r="G78" s="2">
        <f t="shared" si="4"/>
        <v>46409.58</v>
      </c>
      <c r="H78" t="s">
        <v>13</v>
      </c>
      <c r="I78" s="14" t="str">
        <f t="shared" si="3"/>
        <v>No Discount</v>
      </c>
    </row>
    <row r="79" spans="1:9" x14ac:dyDescent="0.35">
      <c r="A79" s="1">
        <v>45732</v>
      </c>
      <c r="B79" t="s">
        <v>20</v>
      </c>
      <c r="C79" t="s">
        <v>12</v>
      </c>
      <c r="D79" t="s">
        <v>9</v>
      </c>
      <c r="E79">
        <v>8</v>
      </c>
      <c r="F79" s="2">
        <v>0</v>
      </c>
      <c r="G79" s="2">
        <f t="shared" si="4"/>
        <v>0</v>
      </c>
      <c r="H79" t="s">
        <v>17</v>
      </c>
      <c r="I79" s="14" t="str">
        <f t="shared" si="3"/>
        <v>No Discount</v>
      </c>
    </row>
    <row r="80" spans="1:9" x14ac:dyDescent="0.35">
      <c r="A80" s="1">
        <v>45734</v>
      </c>
      <c r="B80" t="s">
        <v>7</v>
      </c>
      <c r="C80" t="s">
        <v>8</v>
      </c>
      <c r="D80" t="s">
        <v>9</v>
      </c>
      <c r="E80">
        <v>6</v>
      </c>
      <c r="F80" s="2">
        <v>8809.18</v>
      </c>
      <c r="G80" s="2">
        <f t="shared" si="4"/>
        <v>52855.08</v>
      </c>
      <c r="H80" t="s">
        <v>21</v>
      </c>
      <c r="I80" s="14" t="str">
        <f t="shared" si="3"/>
        <v>No Discount</v>
      </c>
    </row>
    <row r="81" spans="1:9" x14ac:dyDescent="0.35">
      <c r="A81" s="1">
        <v>45734</v>
      </c>
      <c r="B81" t="s">
        <v>7</v>
      </c>
      <c r="C81" t="s">
        <v>18</v>
      </c>
      <c r="D81" t="s">
        <v>9</v>
      </c>
      <c r="E81">
        <v>7</v>
      </c>
      <c r="F81" s="2">
        <v>14907.33</v>
      </c>
      <c r="G81" s="2">
        <f t="shared" si="4"/>
        <v>104351.31</v>
      </c>
      <c r="H81" t="s">
        <v>16</v>
      </c>
      <c r="I81" s="14">
        <f t="shared" si="3"/>
        <v>6261.0785999999998</v>
      </c>
    </row>
    <row r="82" spans="1:9" x14ac:dyDescent="0.35">
      <c r="A82" s="1">
        <v>45736</v>
      </c>
      <c r="B82" t="s">
        <v>25</v>
      </c>
      <c r="C82" t="s">
        <v>22</v>
      </c>
      <c r="D82" t="s">
        <v>15</v>
      </c>
      <c r="E82">
        <v>4</v>
      </c>
      <c r="F82" s="2">
        <v>49113.74</v>
      </c>
      <c r="G82" s="2">
        <f t="shared" si="4"/>
        <v>196454.96</v>
      </c>
      <c r="H82" t="s">
        <v>19</v>
      </c>
      <c r="I82" s="14">
        <f t="shared" si="3"/>
        <v>0</v>
      </c>
    </row>
    <row r="83" spans="1:9" x14ac:dyDescent="0.35">
      <c r="A83" s="1">
        <v>45736</v>
      </c>
      <c r="B83" t="s">
        <v>20</v>
      </c>
      <c r="C83" t="s">
        <v>14</v>
      </c>
      <c r="D83" t="s">
        <v>15</v>
      </c>
      <c r="E83">
        <v>10</v>
      </c>
      <c r="F83" s="2">
        <v>85269.65</v>
      </c>
      <c r="G83" s="2">
        <f t="shared" si="4"/>
        <v>852696.5</v>
      </c>
      <c r="H83" t="s">
        <v>17</v>
      </c>
      <c r="I83" s="14">
        <f t="shared" si="3"/>
        <v>34107.86</v>
      </c>
    </row>
    <row r="84" spans="1:9" x14ac:dyDescent="0.35">
      <c r="A84" s="1">
        <v>45739</v>
      </c>
      <c r="B84" t="s">
        <v>20</v>
      </c>
      <c r="C84" t="s">
        <v>24</v>
      </c>
      <c r="D84" t="s">
        <v>11</v>
      </c>
      <c r="E84">
        <v>6</v>
      </c>
      <c r="F84" s="2">
        <v>320845.82</v>
      </c>
      <c r="G84" s="2">
        <f t="shared" si="4"/>
        <v>1925074.92</v>
      </c>
      <c r="H84" t="s">
        <v>26</v>
      </c>
      <c r="I84" s="14">
        <f t="shared" si="3"/>
        <v>96253.745999999999</v>
      </c>
    </row>
    <row r="85" spans="1:9" x14ac:dyDescent="0.35">
      <c r="A85" s="1">
        <v>45739</v>
      </c>
      <c r="B85" t="s">
        <v>30</v>
      </c>
      <c r="C85" t="s">
        <v>23</v>
      </c>
      <c r="D85" t="s">
        <v>11</v>
      </c>
      <c r="E85">
        <v>5</v>
      </c>
      <c r="F85" s="2">
        <v>0</v>
      </c>
      <c r="G85" s="2">
        <f t="shared" si="4"/>
        <v>0</v>
      </c>
      <c r="H85" t="s">
        <v>21</v>
      </c>
      <c r="I85" s="14" t="str">
        <f t="shared" si="3"/>
        <v>No Discount</v>
      </c>
    </row>
    <row r="86" spans="1:9" x14ac:dyDescent="0.35">
      <c r="A86" s="1">
        <v>45739</v>
      </c>
      <c r="B86" t="s">
        <v>29</v>
      </c>
      <c r="C86" t="s">
        <v>19</v>
      </c>
      <c r="D86" t="s">
        <v>15</v>
      </c>
      <c r="E86">
        <v>6</v>
      </c>
      <c r="F86" s="2">
        <v>42407.83</v>
      </c>
      <c r="G86" s="2">
        <f t="shared" si="4"/>
        <v>254446.98</v>
      </c>
      <c r="H86" t="s">
        <v>19</v>
      </c>
      <c r="I86" s="14">
        <f t="shared" si="3"/>
        <v>0</v>
      </c>
    </row>
    <row r="87" spans="1:9" x14ac:dyDescent="0.35">
      <c r="A87" s="1">
        <v>45740</v>
      </c>
      <c r="B87" t="s">
        <v>27</v>
      </c>
      <c r="C87" t="s">
        <v>23</v>
      </c>
      <c r="D87" t="s">
        <v>11</v>
      </c>
      <c r="E87">
        <v>1</v>
      </c>
      <c r="F87" s="2">
        <v>0</v>
      </c>
      <c r="G87" s="2">
        <f t="shared" si="4"/>
        <v>0</v>
      </c>
      <c r="H87" t="s">
        <v>17</v>
      </c>
      <c r="I87" s="14" t="str">
        <f t="shared" si="3"/>
        <v>No Discount</v>
      </c>
    </row>
    <row r="88" spans="1:9" x14ac:dyDescent="0.35">
      <c r="A88" s="1">
        <v>45740</v>
      </c>
      <c r="B88" t="s">
        <v>25</v>
      </c>
      <c r="C88" t="s">
        <v>8</v>
      </c>
      <c r="D88" t="s">
        <v>9</v>
      </c>
      <c r="E88">
        <v>1</v>
      </c>
      <c r="F88" s="2">
        <v>9102.31</v>
      </c>
      <c r="G88" s="2">
        <f t="shared" si="4"/>
        <v>9102.31</v>
      </c>
      <c r="H88" t="s">
        <v>13</v>
      </c>
      <c r="I88" s="14" t="str">
        <f t="shared" si="3"/>
        <v>No Discount</v>
      </c>
    </row>
    <row r="89" spans="1:9" x14ac:dyDescent="0.35">
      <c r="A89" s="1">
        <v>45741</v>
      </c>
      <c r="B89" t="s">
        <v>7</v>
      </c>
      <c r="C89" t="s">
        <v>19</v>
      </c>
      <c r="D89" t="s">
        <v>9</v>
      </c>
      <c r="E89">
        <v>3</v>
      </c>
      <c r="F89" s="2">
        <v>0</v>
      </c>
      <c r="G89" s="2">
        <f t="shared" si="4"/>
        <v>0</v>
      </c>
      <c r="H89" t="s">
        <v>19</v>
      </c>
      <c r="I89" s="14" t="str">
        <f t="shared" si="3"/>
        <v>No Discount</v>
      </c>
    </row>
    <row r="90" spans="1:9" x14ac:dyDescent="0.35">
      <c r="A90" s="1">
        <v>45743</v>
      </c>
      <c r="B90" t="s">
        <v>7</v>
      </c>
      <c r="C90" t="s">
        <v>12</v>
      </c>
      <c r="D90" t="s">
        <v>9</v>
      </c>
      <c r="E90">
        <v>4</v>
      </c>
      <c r="F90" s="2">
        <v>11086.19</v>
      </c>
      <c r="G90" s="2">
        <f t="shared" si="4"/>
        <v>44344.76</v>
      </c>
      <c r="H90" t="s">
        <v>16</v>
      </c>
      <c r="I90" s="14" t="str">
        <f t="shared" si="3"/>
        <v>No Discount</v>
      </c>
    </row>
    <row r="91" spans="1:9" x14ac:dyDescent="0.35">
      <c r="A91" s="1">
        <v>45745</v>
      </c>
      <c r="B91" t="s">
        <v>27</v>
      </c>
      <c r="C91" t="s">
        <v>24</v>
      </c>
      <c r="D91" t="s">
        <v>11</v>
      </c>
      <c r="E91">
        <v>3</v>
      </c>
      <c r="F91" s="2">
        <v>343709.26</v>
      </c>
      <c r="G91" s="2">
        <f t="shared" si="4"/>
        <v>1031127.78</v>
      </c>
      <c r="H91" t="s">
        <v>21</v>
      </c>
      <c r="I91" s="14">
        <f t="shared" si="3"/>
        <v>72178.944600000003</v>
      </c>
    </row>
    <row r="92" spans="1:9" x14ac:dyDescent="0.35">
      <c r="A92" s="1">
        <v>45746</v>
      </c>
      <c r="B92" t="s">
        <v>31</v>
      </c>
      <c r="C92" t="s">
        <v>22</v>
      </c>
      <c r="D92" t="s">
        <v>15</v>
      </c>
      <c r="E92">
        <v>4</v>
      </c>
      <c r="F92" s="2">
        <v>49205.08</v>
      </c>
      <c r="G92" s="2">
        <f t="shared" si="4"/>
        <v>196820.32</v>
      </c>
      <c r="H92" t="s">
        <v>21</v>
      </c>
      <c r="I92" s="14">
        <f t="shared" si="3"/>
        <v>13777.422400000001</v>
      </c>
    </row>
    <row r="93" spans="1:9" x14ac:dyDescent="0.35">
      <c r="A93" s="1">
        <v>45748</v>
      </c>
      <c r="B93" t="s">
        <v>31</v>
      </c>
      <c r="C93" t="s">
        <v>10</v>
      </c>
      <c r="D93" t="s">
        <v>11</v>
      </c>
      <c r="E93">
        <v>4</v>
      </c>
      <c r="F93" s="2">
        <v>102358.45</v>
      </c>
      <c r="G93" s="2">
        <f t="shared" si="4"/>
        <v>409433.8</v>
      </c>
      <c r="H93" t="s">
        <v>26</v>
      </c>
      <c r="I93" s="14">
        <f t="shared" si="3"/>
        <v>20471.690000000002</v>
      </c>
    </row>
    <row r="94" spans="1:9" x14ac:dyDescent="0.35">
      <c r="A94" s="1">
        <v>45748</v>
      </c>
      <c r="B94" t="s">
        <v>27</v>
      </c>
      <c r="C94" t="s">
        <v>14</v>
      </c>
      <c r="D94" t="s">
        <v>15</v>
      </c>
      <c r="E94">
        <v>3</v>
      </c>
      <c r="F94" s="2">
        <v>89308.63</v>
      </c>
      <c r="G94" s="2">
        <f t="shared" si="4"/>
        <v>267925.89</v>
      </c>
      <c r="H94" t="s">
        <v>16</v>
      </c>
      <c r="I94" s="14">
        <f t="shared" si="3"/>
        <v>16075.553400000001</v>
      </c>
    </row>
    <row r="95" spans="1:9" x14ac:dyDescent="0.35">
      <c r="A95" s="1">
        <v>45750</v>
      </c>
      <c r="B95" t="s">
        <v>30</v>
      </c>
      <c r="C95" t="s">
        <v>14</v>
      </c>
      <c r="D95" t="s">
        <v>15</v>
      </c>
      <c r="E95">
        <v>5</v>
      </c>
      <c r="F95" s="2">
        <v>77011.75</v>
      </c>
      <c r="G95" s="2">
        <f t="shared" si="4"/>
        <v>385058.75</v>
      </c>
      <c r="H95" t="s">
        <v>17</v>
      </c>
      <c r="I95" s="14">
        <f t="shared" si="3"/>
        <v>15402.35</v>
      </c>
    </row>
    <row r="96" spans="1:9" x14ac:dyDescent="0.35">
      <c r="A96" s="1">
        <v>45750</v>
      </c>
      <c r="B96" t="s">
        <v>20</v>
      </c>
      <c r="C96" t="s">
        <v>18</v>
      </c>
      <c r="D96" t="s">
        <v>9</v>
      </c>
      <c r="E96">
        <v>3</v>
      </c>
      <c r="F96" s="2">
        <v>14627.54</v>
      </c>
      <c r="G96" s="2">
        <f t="shared" si="4"/>
        <v>43882.62</v>
      </c>
      <c r="H96" t="s">
        <v>16</v>
      </c>
      <c r="I96" s="14" t="str">
        <f t="shared" si="3"/>
        <v>No Discount</v>
      </c>
    </row>
    <row r="97" spans="1:9" x14ac:dyDescent="0.35">
      <c r="A97" s="1">
        <v>45750</v>
      </c>
      <c r="B97" t="s">
        <v>27</v>
      </c>
      <c r="C97" t="s">
        <v>10</v>
      </c>
      <c r="D97" t="s">
        <v>11</v>
      </c>
      <c r="E97">
        <v>9</v>
      </c>
      <c r="F97" s="2">
        <v>81867.19</v>
      </c>
      <c r="G97" s="2">
        <f t="shared" si="4"/>
        <v>736804.71</v>
      </c>
      <c r="H97" t="s">
        <v>17</v>
      </c>
      <c r="I97" s="14">
        <f t="shared" si="3"/>
        <v>29472.188399999999</v>
      </c>
    </row>
    <row r="98" spans="1:9" x14ac:dyDescent="0.35">
      <c r="A98" s="1">
        <v>45750</v>
      </c>
      <c r="B98" t="s">
        <v>27</v>
      </c>
      <c r="C98" t="s">
        <v>18</v>
      </c>
      <c r="D98" t="s">
        <v>9</v>
      </c>
      <c r="E98">
        <v>-1</v>
      </c>
      <c r="F98" s="2">
        <v>15069.49</v>
      </c>
      <c r="G98" s="2">
        <f t="shared" si="4"/>
        <v>-15069.49</v>
      </c>
      <c r="H98" t="s">
        <v>16</v>
      </c>
      <c r="I98" s="14" t="str">
        <f t="shared" ref="I98:I129" si="5">IF(G98&gt;=100000,G98*VLOOKUP(H98,$L$1:$M$7,2,FALSE),"No Discount")</f>
        <v>No Discount</v>
      </c>
    </row>
    <row r="99" spans="1:9" x14ac:dyDescent="0.35">
      <c r="A99" s="1">
        <v>45750</v>
      </c>
      <c r="B99" t="s">
        <v>25</v>
      </c>
      <c r="C99" t="s">
        <v>12</v>
      </c>
      <c r="D99" t="s">
        <v>9</v>
      </c>
      <c r="E99">
        <v>7</v>
      </c>
      <c r="F99" s="2">
        <v>11015.52</v>
      </c>
      <c r="G99" s="2">
        <f t="shared" si="4"/>
        <v>77108.639999999999</v>
      </c>
      <c r="H99" t="s">
        <v>17</v>
      </c>
      <c r="I99" s="14" t="str">
        <f t="shared" si="5"/>
        <v>No Discount</v>
      </c>
    </row>
    <row r="100" spans="1:9" x14ac:dyDescent="0.35">
      <c r="A100" s="1">
        <v>45751</v>
      </c>
      <c r="B100" t="s">
        <v>25</v>
      </c>
      <c r="C100" t="s">
        <v>10</v>
      </c>
      <c r="D100" t="s">
        <v>11</v>
      </c>
      <c r="E100">
        <v>3</v>
      </c>
      <c r="F100" s="2">
        <v>88708.41</v>
      </c>
      <c r="G100" s="2">
        <f t="shared" si="4"/>
        <v>266125.23</v>
      </c>
      <c r="H100" t="s">
        <v>17</v>
      </c>
      <c r="I100" s="14">
        <f t="shared" si="5"/>
        <v>10645.009199999999</v>
      </c>
    </row>
    <row r="101" spans="1:9" x14ac:dyDescent="0.35">
      <c r="A101" s="1">
        <v>45751</v>
      </c>
      <c r="B101" t="s">
        <v>20</v>
      </c>
      <c r="C101" t="s">
        <v>10</v>
      </c>
      <c r="D101" t="s">
        <v>11</v>
      </c>
      <c r="E101">
        <v>10</v>
      </c>
      <c r="F101" s="2">
        <v>105158.68</v>
      </c>
      <c r="G101" s="2">
        <f t="shared" si="4"/>
        <v>1051586.7999999998</v>
      </c>
      <c r="H101" t="s">
        <v>17</v>
      </c>
      <c r="I101" s="14">
        <f t="shared" si="5"/>
        <v>42063.471999999994</v>
      </c>
    </row>
    <row r="102" spans="1:9" x14ac:dyDescent="0.35">
      <c r="A102" s="1">
        <v>45753</v>
      </c>
      <c r="B102" t="s">
        <v>25</v>
      </c>
      <c r="C102" t="s">
        <v>22</v>
      </c>
      <c r="D102" t="s">
        <v>15</v>
      </c>
      <c r="E102">
        <v>6</v>
      </c>
      <c r="F102" s="2">
        <v>0</v>
      </c>
      <c r="G102" s="2">
        <f t="shared" si="4"/>
        <v>0</v>
      </c>
      <c r="H102" t="s">
        <v>21</v>
      </c>
      <c r="I102" s="14" t="str">
        <f t="shared" si="5"/>
        <v>No Discount</v>
      </c>
    </row>
    <row r="103" spans="1:9" x14ac:dyDescent="0.35">
      <c r="A103" s="1">
        <v>45753</v>
      </c>
      <c r="B103" t="s">
        <v>28</v>
      </c>
      <c r="C103" t="s">
        <v>10</v>
      </c>
      <c r="D103" t="s">
        <v>11</v>
      </c>
      <c r="E103">
        <v>2</v>
      </c>
      <c r="F103" s="2">
        <v>102325.79</v>
      </c>
      <c r="G103" s="2">
        <f t="shared" si="4"/>
        <v>204651.58</v>
      </c>
      <c r="H103" t="s">
        <v>21</v>
      </c>
      <c r="I103" s="14">
        <f t="shared" si="5"/>
        <v>14325.6106</v>
      </c>
    </row>
    <row r="104" spans="1:9" x14ac:dyDescent="0.35">
      <c r="A104" s="1">
        <v>45754</v>
      </c>
      <c r="B104" t="s">
        <v>31</v>
      </c>
      <c r="C104" t="s">
        <v>22</v>
      </c>
      <c r="D104" t="s">
        <v>15</v>
      </c>
      <c r="E104">
        <v>10</v>
      </c>
      <c r="F104" s="2">
        <v>46682.23</v>
      </c>
      <c r="G104" s="2">
        <f t="shared" si="4"/>
        <v>466822.30000000005</v>
      </c>
      <c r="H104" t="s">
        <v>21</v>
      </c>
      <c r="I104" s="14">
        <f t="shared" si="5"/>
        <v>32677.561000000005</v>
      </c>
    </row>
    <row r="105" spans="1:9" x14ac:dyDescent="0.35">
      <c r="A105" s="1">
        <v>45754</v>
      </c>
      <c r="B105" t="s">
        <v>25</v>
      </c>
      <c r="C105" t="s">
        <v>22</v>
      </c>
      <c r="D105" t="s">
        <v>15</v>
      </c>
      <c r="E105">
        <v>3</v>
      </c>
      <c r="F105" s="2">
        <v>43273.57</v>
      </c>
      <c r="G105" s="2">
        <f t="shared" si="4"/>
        <v>129820.70999999999</v>
      </c>
      <c r="H105" t="s">
        <v>17</v>
      </c>
      <c r="I105" s="14">
        <f t="shared" si="5"/>
        <v>5192.8283999999994</v>
      </c>
    </row>
    <row r="106" spans="1:9" x14ac:dyDescent="0.35">
      <c r="A106" s="1">
        <v>45754</v>
      </c>
      <c r="B106" t="s">
        <v>7</v>
      </c>
      <c r="C106" t="s">
        <v>8</v>
      </c>
      <c r="D106" t="s">
        <v>9</v>
      </c>
      <c r="E106">
        <v>5</v>
      </c>
      <c r="F106" s="2">
        <v>8544.4</v>
      </c>
      <c r="G106" s="2">
        <f t="shared" si="4"/>
        <v>42722</v>
      </c>
      <c r="H106" t="s">
        <v>21</v>
      </c>
      <c r="I106" s="14" t="str">
        <f t="shared" si="5"/>
        <v>No Discount</v>
      </c>
    </row>
    <row r="107" spans="1:9" x14ac:dyDescent="0.35">
      <c r="A107" s="1">
        <v>45754</v>
      </c>
      <c r="B107" t="s">
        <v>30</v>
      </c>
      <c r="C107" t="s">
        <v>12</v>
      </c>
      <c r="D107" t="s">
        <v>9</v>
      </c>
      <c r="E107">
        <v>1</v>
      </c>
      <c r="F107" s="2">
        <v>0</v>
      </c>
      <c r="G107" s="2">
        <f t="shared" si="4"/>
        <v>0</v>
      </c>
      <c r="H107" t="s">
        <v>17</v>
      </c>
      <c r="I107" s="14" t="str">
        <f t="shared" si="5"/>
        <v>No Discount</v>
      </c>
    </row>
    <row r="108" spans="1:9" x14ac:dyDescent="0.35">
      <c r="A108" s="1">
        <v>45756</v>
      </c>
      <c r="B108" t="s">
        <v>25</v>
      </c>
      <c r="C108" t="s">
        <v>19</v>
      </c>
      <c r="D108" t="s">
        <v>9</v>
      </c>
      <c r="E108">
        <v>7</v>
      </c>
      <c r="F108" s="2">
        <v>11798.53</v>
      </c>
      <c r="G108" s="2">
        <f t="shared" si="4"/>
        <v>82589.710000000006</v>
      </c>
      <c r="H108" t="s">
        <v>17</v>
      </c>
      <c r="I108" s="14" t="str">
        <f t="shared" si="5"/>
        <v>No Discount</v>
      </c>
    </row>
    <row r="109" spans="1:9" x14ac:dyDescent="0.35">
      <c r="A109" s="1">
        <v>45756</v>
      </c>
      <c r="B109" t="s">
        <v>20</v>
      </c>
      <c r="C109" t="s">
        <v>10</v>
      </c>
      <c r="D109" t="s">
        <v>11</v>
      </c>
      <c r="E109">
        <v>10</v>
      </c>
      <c r="F109" s="2">
        <v>0</v>
      </c>
      <c r="G109" s="2">
        <f t="shared" si="4"/>
        <v>0</v>
      </c>
      <c r="H109" t="s">
        <v>26</v>
      </c>
      <c r="I109" s="14" t="str">
        <f t="shared" si="5"/>
        <v>No Discount</v>
      </c>
    </row>
    <row r="110" spans="1:9" x14ac:dyDescent="0.35">
      <c r="A110" s="1">
        <v>45756</v>
      </c>
      <c r="B110" t="s">
        <v>31</v>
      </c>
      <c r="C110" t="s">
        <v>14</v>
      </c>
      <c r="D110" t="s">
        <v>15</v>
      </c>
      <c r="E110">
        <v>7</v>
      </c>
      <c r="F110" s="2">
        <v>0</v>
      </c>
      <c r="G110" s="2">
        <f t="shared" si="4"/>
        <v>0</v>
      </c>
      <c r="H110" t="s">
        <v>21</v>
      </c>
      <c r="I110" s="14" t="str">
        <f t="shared" si="5"/>
        <v>No Discount</v>
      </c>
    </row>
    <row r="111" spans="1:9" x14ac:dyDescent="0.35">
      <c r="A111" s="1">
        <v>45756</v>
      </c>
      <c r="B111" t="s">
        <v>30</v>
      </c>
      <c r="C111" t="s">
        <v>12</v>
      </c>
      <c r="D111" t="s">
        <v>9</v>
      </c>
      <c r="E111">
        <v>-2</v>
      </c>
      <c r="F111" s="2">
        <v>11530.56</v>
      </c>
      <c r="G111" s="2">
        <f t="shared" si="4"/>
        <v>-23061.119999999999</v>
      </c>
      <c r="H111" t="s">
        <v>19</v>
      </c>
      <c r="I111" s="14" t="str">
        <f t="shared" si="5"/>
        <v>No Discount</v>
      </c>
    </row>
    <row r="112" spans="1:9" x14ac:dyDescent="0.35">
      <c r="A112" s="1">
        <v>45757</v>
      </c>
      <c r="B112" t="s">
        <v>31</v>
      </c>
      <c r="C112" t="s">
        <v>12</v>
      </c>
      <c r="D112" t="s">
        <v>9</v>
      </c>
      <c r="E112">
        <v>4</v>
      </c>
      <c r="F112" s="2">
        <v>12451.69</v>
      </c>
      <c r="G112" s="2">
        <f t="shared" si="4"/>
        <v>49806.76</v>
      </c>
      <c r="H112" t="s">
        <v>13</v>
      </c>
      <c r="I112" s="14" t="str">
        <f t="shared" si="5"/>
        <v>No Discount</v>
      </c>
    </row>
    <row r="113" spans="1:9" x14ac:dyDescent="0.35">
      <c r="A113" s="1">
        <v>45757</v>
      </c>
      <c r="B113" t="s">
        <v>27</v>
      </c>
      <c r="C113" t="s">
        <v>18</v>
      </c>
      <c r="D113" t="s">
        <v>9</v>
      </c>
      <c r="E113">
        <v>-2</v>
      </c>
      <c r="F113" s="2">
        <v>14932.05</v>
      </c>
      <c r="G113" s="2">
        <f t="shared" si="4"/>
        <v>-29864.1</v>
      </c>
      <c r="H113" t="s">
        <v>17</v>
      </c>
      <c r="I113" s="14" t="str">
        <f t="shared" si="5"/>
        <v>No Discount</v>
      </c>
    </row>
    <row r="114" spans="1:9" x14ac:dyDescent="0.35">
      <c r="A114" s="1">
        <v>45758</v>
      </c>
      <c r="B114" t="s">
        <v>31</v>
      </c>
      <c r="C114" t="s">
        <v>23</v>
      </c>
      <c r="D114" t="s">
        <v>11</v>
      </c>
      <c r="E114">
        <v>7</v>
      </c>
      <c r="F114" s="2">
        <v>206884.76</v>
      </c>
      <c r="G114" s="2">
        <f t="shared" si="4"/>
        <v>1448193.32</v>
      </c>
      <c r="H114" t="s">
        <v>19</v>
      </c>
      <c r="I114" s="14">
        <f t="shared" si="5"/>
        <v>0</v>
      </c>
    </row>
    <row r="115" spans="1:9" x14ac:dyDescent="0.35">
      <c r="A115" s="1">
        <v>45758</v>
      </c>
      <c r="B115" t="s">
        <v>20</v>
      </c>
      <c r="C115" t="s">
        <v>14</v>
      </c>
      <c r="D115" t="s">
        <v>15</v>
      </c>
      <c r="E115">
        <v>2</v>
      </c>
      <c r="F115" s="2">
        <v>0</v>
      </c>
      <c r="G115" s="2">
        <f t="shared" si="4"/>
        <v>0</v>
      </c>
      <c r="H115" t="s">
        <v>26</v>
      </c>
      <c r="I115" s="14" t="str">
        <f t="shared" si="5"/>
        <v>No Discount</v>
      </c>
    </row>
    <row r="116" spans="1:9" x14ac:dyDescent="0.35">
      <c r="A116" s="1">
        <v>45759</v>
      </c>
      <c r="B116" t="s">
        <v>28</v>
      </c>
      <c r="C116" t="s">
        <v>14</v>
      </c>
      <c r="D116" t="s">
        <v>15</v>
      </c>
      <c r="E116">
        <v>6</v>
      </c>
      <c r="F116" s="2">
        <v>71697.23</v>
      </c>
      <c r="G116" s="2">
        <f t="shared" si="4"/>
        <v>430183.38</v>
      </c>
      <c r="H116" t="s">
        <v>13</v>
      </c>
      <c r="I116" s="14">
        <f t="shared" si="5"/>
        <v>34414.670400000003</v>
      </c>
    </row>
    <row r="117" spans="1:9" x14ac:dyDescent="0.35">
      <c r="A117" s="1">
        <v>45761</v>
      </c>
      <c r="B117" t="s">
        <v>20</v>
      </c>
      <c r="C117" t="s">
        <v>8</v>
      </c>
      <c r="D117" t="s">
        <v>9</v>
      </c>
      <c r="E117">
        <v>3</v>
      </c>
      <c r="F117" s="2">
        <v>7783.4</v>
      </c>
      <c r="G117" s="2">
        <f t="shared" si="4"/>
        <v>23350.199999999997</v>
      </c>
      <c r="H117" t="s">
        <v>26</v>
      </c>
      <c r="I117" s="14" t="str">
        <f t="shared" si="5"/>
        <v>No Discount</v>
      </c>
    </row>
    <row r="118" spans="1:9" x14ac:dyDescent="0.35">
      <c r="A118" s="1">
        <v>45761</v>
      </c>
      <c r="B118" t="s">
        <v>7</v>
      </c>
      <c r="C118" t="s">
        <v>19</v>
      </c>
      <c r="D118" t="s">
        <v>15</v>
      </c>
      <c r="E118">
        <v>-2</v>
      </c>
      <c r="F118" s="2">
        <v>40092.550000000003</v>
      </c>
      <c r="G118" s="2">
        <f t="shared" si="4"/>
        <v>-80185.100000000006</v>
      </c>
      <c r="H118" t="s">
        <v>19</v>
      </c>
      <c r="I118" s="14" t="str">
        <f t="shared" si="5"/>
        <v>No Discount</v>
      </c>
    </row>
    <row r="119" spans="1:9" x14ac:dyDescent="0.35">
      <c r="A119" s="1">
        <v>45762</v>
      </c>
      <c r="B119" t="s">
        <v>25</v>
      </c>
      <c r="C119" t="s">
        <v>22</v>
      </c>
      <c r="D119" t="s">
        <v>15</v>
      </c>
      <c r="E119">
        <v>10</v>
      </c>
      <c r="F119" s="2">
        <v>49490.85</v>
      </c>
      <c r="G119" s="2">
        <f t="shared" si="4"/>
        <v>494908.5</v>
      </c>
      <c r="H119" t="s">
        <v>17</v>
      </c>
      <c r="I119" s="14">
        <f t="shared" si="5"/>
        <v>19796.34</v>
      </c>
    </row>
    <row r="120" spans="1:9" x14ac:dyDescent="0.35">
      <c r="A120" s="1">
        <v>45763</v>
      </c>
      <c r="B120" t="s">
        <v>30</v>
      </c>
      <c r="C120" t="s">
        <v>19</v>
      </c>
      <c r="D120" t="s">
        <v>9</v>
      </c>
      <c r="E120">
        <v>5</v>
      </c>
      <c r="F120" s="2">
        <v>0</v>
      </c>
      <c r="G120" s="2">
        <f t="shared" si="4"/>
        <v>0</v>
      </c>
      <c r="H120" t="s">
        <v>21</v>
      </c>
      <c r="I120" s="14" t="str">
        <f t="shared" si="5"/>
        <v>No Discount</v>
      </c>
    </row>
    <row r="121" spans="1:9" x14ac:dyDescent="0.35">
      <c r="A121" s="1">
        <v>45763</v>
      </c>
      <c r="B121" t="s">
        <v>31</v>
      </c>
      <c r="C121" t="s">
        <v>10</v>
      </c>
      <c r="D121" t="s">
        <v>11</v>
      </c>
      <c r="E121">
        <v>6</v>
      </c>
      <c r="F121" s="2">
        <v>105821.36</v>
      </c>
      <c r="G121" s="2">
        <f t="shared" si="4"/>
        <v>634928.16</v>
      </c>
      <c r="H121" t="s">
        <v>13</v>
      </c>
      <c r="I121" s="14">
        <f t="shared" si="5"/>
        <v>50794.252800000002</v>
      </c>
    </row>
    <row r="122" spans="1:9" x14ac:dyDescent="0.35">
      <c r="A122" s="1">
        <v>45764</v>
      </c>
      <c r="B122" t="s">
        <v>28</v>
      </c>
      <c r="C122" t="s">
        <v>10</v>
      </c>
      <c r="D122" t="s">
        <v>11</v>
      </c>
      <c r="E122">
        <v>1</v>
      </c>
      <c r="F122" s="2">
        <v>108357.95</v>
      </c>
      <c r="G122" s="2">
        <f t="shared" si="4"/>
        <v>108357.95</v>
      </c>
      <c r="H122" t="s">
        <v>19</v>
      </c>
      <c r="I122" s="14">
        <f t="shared" si="5"/>
        <v>0</v>
      </c>
    </row>
    <row r="123" spans="1:9" x14ac:dyDescent="0.35">
      <c r="A123" s="1">
        <v>45765</v>
      </c>
      <c r="B123" t="s">
        <v>27</v>
      </c>
      <c r="C123" t="s">
        <v>14</v>
      </c>
      <c r="D123" t="s">
        <v>15</v>
      </c>
      <c r="E123">
        <v>8</v>
      </c>
      <c r="F123" s="2">
        <v>0</v>
      </c>
      <c r="G123" s="2">
        <f t="shared" si="4"/>
        <v>0</v>
      </c>
      <c r="H123" t="s">
        <v>17</v>
      </c>
      <c r="I123" s="14" t="str">
        <f t="shared" si="5"/>
        <v>No Discount</v>
      </c>
    </row>
    <row r="124" spans="1:9" x14ac:dyDescent="0.35">
      <c r="A124" s="1">
        <v>45768</v>
      </c>
      <c r="B124" t="s">
        <v>27</v>
      </c>
      <c r="C124" t="s">
        <v>23</v>
      </c>
      <c r="D124" t="s">
        <v>11</v>
      </c>
      <c r="E124">
        <v>5</v>
      </c>
      <c r="F124" s="2">
        <v>0</v>
      </c>
      <c r="G124" s="2">
        <f t="shared" si="4"/>
        <v>0</v>
      </c>
      <c r="H124" t="s">
        <v>21</v>
      </c>
      <c r="I124" s="14" t="str">
        <f t="shared" si="5"/>
        <v>No Discount</v>
      </c>
    </row>
    <row r="125" spans="1:9" x14ac:dyDescent="0.35">
      <c r="A125" s="1">
        <v>45769</v>
      </c>
      <c r="B125" t="s">
        <v>7</v>
      </c>
      <c r="C125" t="s">
        <v>23</v>
      </c>
      <c r="D125" t="s">
        <v>11</v>
      </c>
      <c r="E125">
        <v>2</v>
      </c>
      <c r="F125" s="2">
        <v>181314.89</v>
      </c>
      <c r="G125" s="2">
        <f t="shared" si="4"/>
        <v>362629.78</v>
      </c>
      <c r="H125" t="s">
        <v>16</v>
      </c>
      <c r="I125" s="14">
        <f t="shared" si="5"/>
        <v>21757.786800000002</v>
      </c>
    </row>
    <row r="126" spans="1:9" x14ac:dyDescent="0.35">
      <c r="A126" s="1">
        <v>45769</v>
      </c>
      <c r="B126" t="s">
        <v>30</v>
      </c>
      <c r="C126" t="s">
        <v>8</v>
      </c>
      <c r="D126" t="s">
        <v>9</v>
      </c>
      <c r="E126">
        <v>9</v>
      </c>
      <c r="F126" s="2">
        <v>8132.34</v>
      </c>
      <c r="G126" s="2">
        <f t="shared" si="4"/>
        <v>73191.06</v>
      </c>
      <c r="H126" t="s">
        <v>16</v>
      </c>
      <c r="I126" s="14" t="str">
        <f t="shared" si="5"/>
        <v>No Discount</v>
      </c>
    </row>
    <row r="127" spans="1:9" x14ac:dyDescent="0.35">
      <c r="A127" s="1">
        <v>45770</v>
      </c>
      <c r="B127" t="s">
        <v>27</v>
      </c>
      <c r="C127" t="s">
        <v>12</v>
      </c>
      <c r="D127" t="s">
        <v>9</v>
      </c>
      <c r="E127">
        <v>5</v>
      </c>
      <c r="F127" s="2">
        <v>11907.84</v>
      </c>
      <c r="G127" s="2">
        <f t="shared" si="4"/>
        <v>59539.199999999997</v>
      </c>
      <c r="H127" t="s">
        <v>19</v>
      </c>
      <c r="I127" s="14" t="str">
        <f t="shared" si="5"/>
        <v>No Discount</v>
      </c>
    </row>
    <row r="128" spans="1:9" x14ac:dyDescent="0.35">
      <c r="A128" s="1">
        <v>45771</v>
      </c>
      <c r="B128" t="s">
        <v>29</v>
      </c>
      <c r="C128" t="s">
        <v>18</v>
      </c>
      <c r="D128" t="s">
        <v>9</v>
      </c>
      <c r="E128">
        <v>5</v>
      </c>
      <c r="F128" s="2">
        <v>0</v>
      </c>
      <c r="G128" s="2">
        <f t="shared" si="4"/>
        <v>0</v>
      </c>
      <c r="H128" t="s">
        <v>26</v>
      </c>
      <c r="I128" s="14" t="str">
        <f t="shared" si="5"/>
        <v>No Discount</v>
      </c>
    </row>
    <row r="129" spans="1:9" x14ac:dyDescent="0.35">
      <c r="A129" s="1">
        <v>45772</v>
      </c>
      <c r="B129" t="s">
        <v>31</v>
      </c>
      <c r="C129" t="s">
        <v>10</v>
      </c>
      <c r="D129" t="s">
        <v>11</v>
      </c>
      <c r="E129">
        <v>2</v>
      </c>
      <c r="F129" s="2">
        <v>0</v>
      </c>
      <c r="G129" s="2">
        <f t="shared" si="4"/>
        <v>0</v>
      </c>
      <c r="H129" t="s">
        <v>16</v>
      </c>
      <c r="I129" s="14" t="str">
        <f t="shared" si="5"/>
        <v>No Discount</v>
      </c>
    </row>
    <row r="130" spans="1:9" x14ac:dyDescent="0.35">
      <c r="A130" s="1">
        <v>45772</v>
      </c>
      <c r="B130" t="s">
        <v>27</v>
      </c>
      <c r="C130" t="s">
        <v>19</v>
      </c>
      <c r="D130" t="s">
        <v>11</v>
      </c>
      <c r="E130">
        <v>10</v>
      </c>
      <c r="F130" s="2">
        <v>0</v>
      </c>
      <c r="G130" s="2">
        <f t="shared" si="4"/>
        <v>0</v>
      </c>
      <c r="H130" t="s">
        <v>21</v>
      </c>
      <c r="I130" s="14" t="str">
        <f t="shared" ref="I130:I161" si="6">IF(G130&gt;=100000,G130*VLOOKUP(H130,$L$1:$M$7,2,FALSE),"No Discount")</f>
        <v>No Discount</v>
      </c>
    </row>
    <row r="131" spans="1:9" x14ac:dyDescent="0.35">
      <c r="A131" s="1">
        <v>45773</v>
      </c>
      <c r="B131" t="s">
        <v>28</v>
      </c>
      <c r="C131" t="s">
        <v>22</v>
      </c>
      <c r="D131" t="s">
        <v>15</v>
      </c>
      <c r="E131">
        <v>7</v>
      </c>
      <c r="F131" s="2">
        <v>43599.72</v>
      </c>
      <c r="G131" s="2">
        <f t="shared" ref="G131:G194" si="7">E131*F131</f>
        <v>305198.04000000004</v>
      </c>
      <c r="H131" t="s">
        <v>26</v>
      </c>
      <c r="I131" s="14">
        <f t="shared" si="6"/>
        <v>15259.902000000002</v>
      </c>
    </row>
    <row r="132" spans="1:9" x14ac:dyDescent="0.35">
      <c r="A132" s="1">
        <v>45773</v>
      </c>
      <c r="B132" t="s">
        <v>30</v>
      </c>
      <c r="C132" t="s">
        <v>22</v>
      </c>
      <c r="D132" t="s">
        <v>15</v>
      </c>
      <c r="E132">
        <v>2</v>
      </c>
      <c r="F132" s="2">
        <v>0</v>
      </c>
      <c r="G132" s="2">
        <f t="shared" si="7"/>
        <v>0</v>
      </c>
      <c r="H132" t="s">
        <v>17</v>
      </c>
      <c r="I132" s="14" t="str">
        <f t="shared" si="6"/>
        <v>No Discount</v>
      </c>
    </row>
    <row r="133" spans="1:9" x14ac:dyDescent="0.35">
      <c r="A133" s="1">
        <v>45774</v>
      </c>
      <c r="B133" t="s">
        <v>28</v>
      </c>
      <c r="C133" t="s">
        <v>18</v>
      </c>
      <c r="D133" t="s">
        <v>9</v>
      </c>
      <c r="E133">
        <v>2</v>
      </c>
      <c r="F133" s="2">
        <v>0</v>
      </c>
      <c r="G133" s="2">
        <f t="shared" si="7"/>
        <v>0</v>
      </c>
      <c r="H133" t="s">
        <v>21</v>
      </c>
      <c r="I133" s="14" t="str">
        <f t="shared" si="6"/>
        <v>No Discount</v>
      </c>
    </row>
    <row r="134" spans="1:9" x14ac:dyDescent="0.35">
      <c r="A134" s="1">
        <v>45774</v>
      </c>
      <c r="B134" t="s">
        <v>20</v>
      </c>
      <c r="C134" t="s">
        <v>23</v>
      </c>
      <c r="D134" t="s">
        <v>11</v>
      </c>
      <c r="E134">
        <v>6</v>
      </c>
      <c r="F134" s="2">
        <v>174757.36</v>
      </c>
      <c r="G134" s="2">
        <f t="shared" si="7"/>
        <v>1048544.1599999999</v>
      </c>
      <c r="H134" t="s">
        <v>21</v>
      </c>
      <c r="I134" s="14">
        <f t="shared" si="6"/>
        <v>73398.091199999995</v>
      </c>
    </row>
    <row r="135" spans="1:9" x14ac:dyDescent="0.35">
      <c r="A135" s="1">
        <v>45775</v>
      </c>
      <c r="B135" t="s">
        <v>25</v>
      </c>
      <c r="C135" t="s">
        <v>12</v>
      </c>
      <c r="D135" t="s">
        <v>9</v>
      </c>
      <c r="E135">
        <v>8</v>
      </c>
      <c r="F135" s="2">
        <v>0</v>
      </c>
      <c r="G135" s="2">
        <f t="shared" si="7"/>
        <v>0</v>
      </c>
      <c r="H135" t="s">
        <v>26</v>
      </c>
      <c r="I135" s="14" t="str">
        <f t="shared" si="6"/>
        <v>No Discount</v>
      </c>
    </row>
    <row r="136" spans="1:9" x14ac:dyDescent="0.35">
      <c r="A136" s="1">
        <v>45776</v>
      </c>
      <c r="B136" t="s">
        <v>31</v>
      </c>
      <c r="C136" t="s">
        <v>10</v>
      </c>
      <c r="D136" t="s">
        <v>11</v>
      </c>
      <c r="E136">
        <v>7</v>
      </c>
      <c r="F136" s="2">
        <v>95535.15</v>
      </c>
      <c r="G136" s="2">
        <f t="shared" si="7"/>
        <v>668746.04999999993</v>
      </c>
      <c r="H136" t="s">
        <v>26</v>
      </c>
      <c r="I136" s="14">
        <f t="shared" si="6"/>
        <v>33437.302499999998</v>
      </c>
    </row>
    <row r="137" spans="1:9" x14ac:dyDescent="0.35">
      <c r="A137" s="1">
        <v>45776</v>
      </c>
      <c r="B137" t="s">
        <v>30</v>
      </c>
      <c r="C137" t="s">
        <v>10</v>
      </c>
      <c r="D137" t="s">
        <v>11</v>
      </c>
      <c r="E137">
        <v>6</v>
      </c>
      <c r="F137" s="2">
        <v>0</v>
      </c>
      <c r="G137" s="2">
        <f t="shared" si="7"/>
        <v>0</v>
      </c>
      <c r="H137" t="s">
        <v>17</v>
      </c>
      <c r="I137" s="14" t="str">
        <f t="shared" si="6"/>
        <v>No Discount</v>
      </c>
    </row>
    <row r="138" spans="1:9" x14ac:dyDescent="0.35">
      <c r="A138" s="1">
        <v>45778</v>
      </c>
      <c r="B138" t="s">
        <v>28</v>
      </c>
      <c r="C138" t="s">
        <v>10</v>
      </c>
      <c r="D138" t="s">
        <v>11</v>
      </c>
      <c r="E138">
        <v>7</v>
      </c>
      <c r="F138" s="2">
        <v>100398.88</v>
      </c>
      <c r="G138" s="2">
        <f t="shared" si="7"/>
        <v>702792.16</v>
      </c>
      <c r="H138" t="s">
        <v>19</v>
      </c>
      <c r="I138" s="14">
        <f t="shared" si="6"/>
        <v>0</v>
      </c>
    </row>
    <row r="139" spans="1:9" x14ac:dyDescent="0.35">
      <c r="A139" s="1">
        <v>45780</v>
      </c>
      <c r="B139" t="s">
        <v>29</v>
      </c>
      <c r="C139" t="s">
        <v>10</v>
      </c>
      <c r="D139" t="s">
        <v>11</v>
      </c>
      <c r="E139">
        <v>4</v>
      </c>
      <c r="F139" s="2">
        <v>100868.26</v>
      </c>
      <c r="G139" s="2">
        <f t="shared" si="7"/>
        <v>403473.04</v>
      </c>
      <c r="H139" t="s">
        <v>26</v>
      </c>
      <c r="I139" s="14">
        <f t="shared" si="6"/>
        <v>20173.652000000002</v>
      </c>
    </row>
    <row r="140" spans="1:9" x14ac:dyDescent="0.35">
      <c r="A140" s="1">
        <v>45781</v>
      </c>
      <c r="B140" t="s">
        <v>30</v>
      </c>
      <c r="C140" t="s">
        <v>22</v>
      </c>
      <c r="D140" t="s">
        <v>15</v>
      </c>
      <c r="E140">
        <v>3</v>
      </c>
      <c r="F140" s="2">
        <v>0</v>
      </c>
      <c r="G140" s="2">
        <f t="shared" si="7"/>
        <v>0</v>
      </c>
      <c r="H140" t="s">
        <v>17</v>
      </c>
      <c r="I140" s="14" t="str">
        <f t="shared" si="6"/>
        <v>No Discount</v>
      </c>
    </row>
    <row r="141" spans="1:9" x14ac:dyDescent="0.35">
      <c r="A141" s="1">
        <v>45783</v>
      </c>
      <c r="B141" t="s">
        <v>27</v>
      </c>
      <c r="C141" t="s">
        <v>8</v>
      </c>
      <c r="D141" t="s">
        <v>9</v>
      </c>
      <c r="E141">
        <v>1</v>
      </c>
      <c r="F141" s="2">
        <v>7032.07</v>
      </c>
      <c r="G141" s="2">
        <f t="shared" si="7"/>
        <v>7032.07</v>
      </c>
      <c r="H141" t="s">
        <v>17</v>
      </c>
      <c r="I141" s="14" t="str">
        <f t="shared" si="6"/>
        <v>No Discount</v>
      </c>
    </row>
    <row r="142" spans="1:9" x14ac:dyDescent="0.35">
      <c r="A142" s="1">
        <v>45784</v>
      </c>
      <c r="B142" t="s">
        <v>30</v>
      </c>
      <c r="C142" t="s">
        <v>22</v>
      </c>
      <c r="D142" t="s">
        <v>15</v>
      </c>
      <c r="E142">
        <v>2</v>
      </c>
      <c r="F142" s="2">
        <v>41152.379999999997</v>
      </c>
      <c r="G142" s="2">
        <f t="shared" si="7"/>
        <v>82304.759999999995</v>
      </c>
      <c r="H142" t="s">
        <v>21</v>
      </c>
      <c r="I142" s="14" t="str">
        <f t="shared" si="6"/>
        <v>No Discount</v>
      </c>
    </row>
    <row r="143" spans="1:9" x14ac:dyDescent="0.35">
      <c r="A143" s="1">
        <v>45785</v>
      </c>
      <c r="B143" t="s">
        <v>28</v>
      </c>
      <c r="C143" t="s">
        <v>8</v>
      </c>
      <c r="D143" t="s">
        <v>9</v>
      </c>
      <c r="E143">
        <v>5</v>
      </c>
      <c r="F143" s="2">
        <v>9141.57</v>
      </c>
      <c r="G143" s="2">
        <f t="shared" si="7"/>
        <v>45707.85</v>
      </c>
      <c r="H143" t="s">
        <v>21</v>
      </c>
      <c r="I143" s="14" t="str">
        <f t="shared" si="6"/>
        <v>No Discount</v>
      </c>
    </row>
    <row r="144" spans="1:9" x14ac:dyDescent="0.35">
      <c r="A144" s="1">
        <v>45786</v>
      </c>
      <c r="B144" t="s">
        <v>25</v>
      </c>
      <c r="C144" t="s">
        <v>22</v>
      </c>
      <c r="D144" t="s">
        <v>15</v>
      </c>
      <c r="E144">
        <v>4</v>
      </c>
      <c r="F144" s="2">
        <v>38949.17</v>
      </c>
      <c r="G144" s="2">
        <f t="shared" si="7"/>
        <v>155796.68</v>
      </c>
      <c r="H144" t="s">
        <v>17</v>
      </c>
      <c r="I144" s="14">
        <f t="shared" si="6"/>
        <v>6231.8671999999997</v>
      </c>
    </row>
    <row r="145" spans="1:9" x14ac:dyDescent="0.35">
      <c r="A145" s="1">
        <v>45786</v>
      </c>
      <c r="B145" t="s">
        <v>31</v>
      </c>
      <c r="C145" t="s">
        <v>14</v>
      </c>
      <c r="D145" t="s">
        <v>15</v>
      </c>
      <c r="E145">
        <v>3</v>
      </c>
      <c r="F145" s="2">
        <v>0</v>
      </c>
      <c r="G145" s="2">
        <f t="shared" si="7"/>
        <v>0</v>
      </c>
      <c r="H145" t="s">
        <v>17</v>
      </c>
      <c r="I145" s="14" t="str">
        <f t="shared" si="6"/>
        <v>No Discount</v>
      </c>
    </row>
    <row r="146" spans="1:9" x14ac:dyDescent="0.35">
      <c r="A146" s="1">
        <v>45787</v>
      </c>
      <c r="B146" t="s">
        <v>31</v>
      </c>
      <c r="C146" t="s">
        <v>14</v>
      </c>
      <c r="D146" t="s">
        <v>15</v>
      </c>
      <c r="E146">
        <v>10</v>
      </c>
      <c r="F146" s="2">
        <v>90314.29</v>
      </c>
      <c r="G146" s="2">
        <f t="shared" si="7"/>
        <v>903142.89999999991</v>
      </c>
      <c r="H146" t="s">
        <v>19</v>
      </c>
      <c r="I146" s="14">
        <f t="shared" si="6"/>
        <v>0</v>
      </c>
    </row>
    <row r="147" spans="1:9" x14ac:dyDescent="0.35">
      <c r="A147" s="1">
        <v>45788</v>
      </c>
      <c r="B147" t="s">
        <v>27</v>
      </c>
      <c r="C147" t="s">
        <v>14</v>
      </c>
      <c r="D147" t="s">
        <v>15</v>
      </c>
      <c r="E147">
        <v>3</v>
      </c>
      <c r="F147" s="2">
        <v>74388.37</v>
      </c>
      <c r="G147" s="2">
        <f t="shared" si="7"/>
        <v>223165.11</v>
      </c>
      <c r="H147" t="s">
        <v>17</v>
      </c>
      <c r="I147" s="14">
        <f t="shared" si="6"/>
        <v>8926.6044000000002</v>
      </c>
    </row>
    <row r="148" spans="1:9" x14ac:dyDescent="0.35">
      <c r="A148" s="1">
        <v>45788</v>
      </c>
      <c r="B148" t="s">
        <v>28</v>
      </c>
      <c r="C148" t="s">
        <v>8</v>
      </c>
      <c r="D148" t="s">
        <v>9</v>
      </c>
      <c r="E148">
        <v>3</v>
      </c>
      <c r="F148" s="2">
        <v>8730.06</v>
      </c>
      <c r="G148" s="2">
        <f t="shared" si="7"/>
        <v>26190.18</v>
      </c>
      <c r="H148" t="s">
        <v>26</v>
      </c>
      <c r="I148" s="14" t="str">
        <f t="shared" si="6"/>
        <v>No Discount</v>
      </c>
    </row>
    <row r="149" spans="1:9" x14ac:dyDescent="0.35">
      <c r="A149" s="1">
        <v>45789</v>
      </c>
      <c r="B149" t="s">
        <v>27</v>
      </c>
      <c r="C149" t="s">
        <v>23</v>
      </c>
      <c r="D149" t="s">
        <v>11</v>
      </c>
      <c r="E149">
        <v>7</v>
      </c>
      <c r="F149" s="2">
        <v>160385.10999999999</v>
      </c>
      <c r="G149" s="2">
        <f t="shared" si="7"/>
        <v>1122695.77</v>
      </c>
      <c r="H149" t="s">
        <v>17</v>
      </c>
      <c r="I149" s="14">
        <f t="shared" si="6"/>
        <v>44907.830800000003</v>
      </c>
    </row>
    <row r="150" spans="1:9" x14ac:dyDescent="0.35">
      <c r="A150" s="1">
        <v>45793</v>
      </c>
      <c r="B150" t="s">
        <v>28</v>
      </c>
      <c r="C150" t="s">
        <v>12</v>
      </c>
      <c r="D150" t="s">
        <v>9</v>
      </c>
      <c r="E150">
        <v>4</v>
      </c>
      <c r="F150" s="2">
        <v>13391.8</v>
      </c>
      <c r="G150" s="2">
        <f t="shared" si="7"/>
        <v>53567.199999999997</v>
      </c>
      <c r="H150" t="s">
        <v>19</v>
      </c>
      <c r="I150" s="14" t="str">
        <f t="shared" si="6"/>
        <v>No Discount</v>
      </c>
    </row>
    <row r="151" spans="1:9" x14ac:dyDescent="0.35">
      <c r="A151" s="1">
        <v>45793</v>
      </c>
      <c r="B151" t="s">
        <v>28</v>
      </c>
      <c r="C151" t="s">
        <v>12</v>
      </c>
      <c r="D151" t="s">
        <v>9</v>
      </c>
      <c r="E151">
        <v>4</v>
      </c>
      <c r="F151" s="2">
        <v>11515.53</v>
      </c>
      <c r="G151" s="2">
        <f t="shared" si="7"/>
        <v>46062.12</v>
      </c>
      <c r="H151" t="s">
        <v>17</v>
      </c>
      <c r="I151" s="14" t="str">
        <f t="shared" si="6"/>
        <v>No Discount</v>
      </c>
    </row>
    <row r="152" spans="1:9" x14ac:dyDescent="0.35">
      <c r="A152" s="1">
        <v>45794</v>
      </c>
      <c r="B152" t="s">
        <v>7</v>
      </c>
      <c r="C152" t="s">
        <v>18</v>
      </c>
      <c r="D152" t="s">
        <v>9</v>
      </c>
      <c r="E152">
        <v>8</v>
      </c>
      <c r="F152" s="2">
        <v>15570.79</v>
      </c>
      <c r="G152" s="2">
        <f t="shared" si="7"/>
        <v>124566.32</v>
      </c>
      <c r="H152" t="s">
        <v>17</v>
      </c>
      <c r="I152" s="14">
        <f t="shared" si="6"/>
        <v>4982.6528000000008</v>
      </c>
    </row>
    <row r="153" spans="1:9" x14ac:dyDescent="0.35">
      <c r="A153" s="1">
        <v>45794</v>
      </c>
      <c r="B153" t="s">
        <v>28</v>
      </c>
      <c r="C153" t="s">
        <v>23</v>
      </c>
      <c r="D153" t="s">
        <v>11</v>
      </c>
      <c r="E153">
        <v>7</v>
      </c>
      <c r="F153" s="2">
        <v>157056.35</v>
      </c>
      <c r="G153" s="2">
        <f t="shared" si="7"/>
        <v>1099394.45</v>
      </c>
      <c r="H153" t="s">
        <v>26</v>
      </c>
      <c r="I153" s="14">
        <f t="shared" si="6"/>
        <v>54969.722500000003</v>
      </c>
    </row>
    <row r="154" spans="1:9" x14ac:dyDescent="0.35">
      <c r="A154" s="1">
        <v>45795</v>
      </c>
      <c r="B154" t="s">
        <v>7</v>
      </c>
      <c r="C154" t="s">
        <v>10</v>
      </c>
      <c r="D154" t="s">
        <v>11</v>
      </c>
      <c r="E154">
        <v>2</v>
      </c>
      <c r="F154" s="2">
        <v>0</v>
      </c>
      <c r="G154" s="2">
        <f t="shared" si="7"/>
        <v>0</v>
      </c>
      <c r="H154" t="s">
        <v>13</v>
      </c>
      <c r="I154" s="14" t="str">
        <f t="shared" si="6"/>
        <v>No Discount</v>
      </c>
    </row>
    <row r="155" spans="1:9" x14ac:dyDescent="0.35">
      <c r="A155" s="1">
        <v>45796</v>
      </c>
      <c r="B155" t="s">
        <v>31</v>
      </c>
      <c r="C155" t="s">
        <v>12</v>
      </c>
      <c r="D155" t="s">
        <v>9</v>
      </c>
      <c r="E155">
        <v>10</v>
      </c>
      <c r="F155" s="2">
        <v>10339.57</v>
      </c>
      <c r="G155" s="2">
        <f t="shared" si="7"/>
        <v>103395.7</v>
      </c>
      <c r="H155" t="s">
        <v>19</v>
      </c>
      <c r="I155" s="14">
        <f t="shared" si="6"/>
        <v>0</v>
      </c>
    </row>
    <row r="156" spans="1:9" x14ac:dyDescent="0.35">
      <c r="A156" s="1">
        <v>45796</v>
      </c>
      <c r="B156" t="s">
        <v>30</v>
      </c>
      <c r="C156" t="s">
        <v>8</v>
      </c>
      <c r="D156" t="s">
        <v>9</v>
      </c>
      <c r="E156">
        <v>3</v>
      </c>
      <c r="F156" s="2">
        <v>8277.18</v>
      </c>
      <c r="G156" s="2">
        <f t="shared" si="7"/>
        <v>24831.54</v>
      </c>
      <c r="H156" t="s">
        <v>17</v>
      </c>
      <c r="I156" s="14" t="str">
        <f t="shared" si="6"/>
        <v>No Discount</v>
      </c>
    </row>
    <row r="157" spans="1:9" x14ac:dyDescent="0.35">
      <c r="A157" s="1">
        <v>45801</v>
      </c>
      <c r="B157" t="s">
        <v>7</v>
      </c>
      <c r="C157" t="s">
        <v>24</v>
      </c>
      <c r="D157" t="s">
        <v>11</v>
      </c>
      <c r="E157">
        <v>9</v>
      </c>
      <c r="F157" s="2">
        <v>389512.03</v>
      </c>
      <c r="G157" s="2">
        <f t="shared" si="7"/>
        <v>3505608.2700000005</v>
      </c>
      <c r="H157" t="s">
        <v>13</v>
      </c>
      <c r="I157" s="14">
        <f t="shared" si="6"/>
        <v>280448.66160000005</v>
      </c>
    </row>
    <row r="158" spans="1:9" x14ac:dyDescent="0.35">
      <c r="A158" s="1">
        <v>45801</v>
      </c>
      <c r="B158" t="s">
        <v>27</v>
      </c>
      <c r="C158" t="s">
        <v>24</v>
      </c>
      <c r="D158" t="s">
        <v>11</v>
      </c>
      <c r="E158">
        <v>4</v>
      </c>
      <c r="F158" s="2">
        <v>400060.02</v>
      </c>
      <c r="G158" s="2">
        <f t="shared" si="7"/>
        <v>1600240.08</v>
      </c>
      <c r="H158" t="s">
        <v>19</v>
      </c>
      <c r="I158" s="14">
        <f t="shared" si="6"/>
        <v>0</v>
      </c>
    </row>
    <row r="159" spans="1:9" x14ac:dyDescent="0.35">
      <c r="A159" s="1">
        <v>45802</v>
      </c>
      <c r="B159" t="s">
        <v>30</v>
      </c>
      <c r="C159" t="s">
        <v>22</v>
      </c>
      <c r="D159" t="s">
        <v>15</v>
      </c>
      <c r="E159">
        <v>5</v>
      </c>
      <c r="F159" s="2">
        <v>50555.8</v>
      </c>
      <c r="G159" s="2">
        <f t="shared" si="7"/>
        <v>252779</v>
      </c>
      <c r="H159" t="s">
        <v>19</v>
      </c>
      <c r="I159" s="14">
        <f t="shared" si="6"/>
        <v>0</v>
      </c>
    </row>
    <row r="160" spans="1:9" x14ac:dyDescent="0.35">
      <c r="A160" s="1">
        <v>45802</v>
      </c>
      <c r="B160" t="s">
        <v>29</v>
      </c>
      <c r="C160" t="s">
        <v>18</v>
      </c>
      <c r="D160" t="s">
        <v>9</v>
      </c>
      <c r="E160">
        <v>1</v>
      </c>
      <c r="F160" s="2">
        <v>0</v>
      </c>
      <c r="G160" s="2">
        <f t="shared" si="7"/>
        <v>0</v>
      </c>
      <c r="H160" t="s">
        <v>17</v>
      </c>
      <c r="I160" s="14" t="str">
        <f t="shared" si="6"/>
        <v>No Discount</v>
      </c>
    </row>
    <row r="161" spans="1:9" x14ac:dyDescent="0.35">
      <c r="A161" s="1">
        <v>45805</v>
      </c>
      <c r="B161" t="s">
        <v>29</v>
      </c>
      <c r="C161" t="s">
        <v>18</v>
      </c>
      <c r="D161" t="s">
        <v>9</v>
      </c>
      <c r="E161">
        <v>8</v>
      </c>
      <c r="F161" s="2">
        <v>16457.84</v>
      </c>
      <c r="G161" s="2">
        <f t="shared" si="7"/>
        <v>131662.72</v>
      </c>
      <c r="H161" t="s">
        <v>19</v>
      </c>
      <c r="I161" s="14">
        <f t="shared" si="6"/>
        <v>0</v>
      </c>
    </row>
    <row r="162" spans="1:9" x14ac:dyDescent="0.35">
      <c r="A162" s="1">
        <v>45806</v>
      </c>
      <c r="B162" t="s">
        <v>27</v>
      </c>
      <c r="C162" t="s">
        <v>23</v>
      </c>
      <c r="D162" t="s">
        <v>11</v>
      </c>
      <c r="E162">
        <v>7</v>
      </c>
      <c r="F162" s="2">
        <v>191512.58</v>
      </c>
      <c r="G162" s="2">
        <f t="shared" si="7"/>
        <v>1340588.0599999998</v>
      </c>
      <c r="H162" t="s">
        <v>17</v>
      </c>
      <c r="I162" s="14">
        <f t="shared" ref="I162:I193" si="8">IF(G162&gt;=100000,G162*VLOOKUP(H162,$L$1:$M$7,2,FALSE),"No Discount")</f>
        <v>53623.522399999994</v>
      </c>
    </row>
    <row r="163" spans="1:9" x14ac:dyDescent="0.35">
      <c r="A163" s="1">
        <v>45807</v>
      </c>
      <c r="B163" t="s">
        <v>30</v>
      </c>
      <c r="C163" t="s">
        <v>19</v>
      </c>
      <c r="D163" t="s">
        <v>9</v>
      </c>
      <c r="E163">
        <v>8</v>
      </c>
      <c r="F163" s="2">
        <v>11122.12</v>
      </c>
      <c r="G163" s="2">
        <f t="shared" si="7"/>
        <v>88976.960000000006</v>
      </c>
      <c r="H163" t="s">
        <v>16</v>
      </c>
      <c r="I163" s="14" t="str">
        <f t="shared" si="8"/>
        <v>No Discount</v>
      </c>
    </row>
    <row r="164" spans="1:9" x14ac:dyDescent="0.35">
      <c r="A164" s="1" t="s">
        <v>19</v>
      </c>
      <c r="B164" t="s">
        <v>20</v>
      </c>
      <c r="C164" t="s">
        <v>12</v>
      </c>
      <c r="D164" t="s">
        <v>9</v>
      </c>
      <c r="E164">
        <v>1</v>
      </c>
      <c r="F164" s="2">
        <v>11947.97</v>
      </c>
      <c r="G164" s="2">
        <f t="shared" si="7"/>
        <v>11947.97</v>
      </c>
      <c r="H164" t="s">
        <v>21</v>
      </c>
      <c r="I164" s="14" t="str">
        <f t="shared" si="8"/>
        <v>No Discount</v>
      </c>
    </row>
    <row r="165" spans="1:9" x14ac:dyDescent="0.35">
      <c r="A165" s="1" t="s">
        <v>19</v>
      </c>
      <c r="B165" t="s">
        <v>7</v>
      </c>
      <c r="C165" t="s">
        <v>22</v>
      </c>
      <c r="D165" t="s">
        <v>15</v>
      </c>
      <c r="E165">
        <v>2</v>
      </c>
      <c r="F165" s="2">
        <v>39039.25</v>
      </c>
      <c r="G165" s="2">
        <f t="shared" si="7"/>
        <v>78078.5</v>
      </c>
      <c r="H165" t="s">
        <v>19</v>
      </c>
      <c r="I165" s="14" t="str">
        <f t="shared" si="8"/>
        <v>No Discount</v>
      </c>
    </row>
    <row r="166" spans="1:9" x14ac:dyDescent="0.35">
      <c r="A166" s="1" t="s">
        <v>19</v>
      </c>
      <c r="B166" t="s">
        <v>27</v>
      </c>
      <c r="C166" t="s">
        <v>18</v>
      </c>
      <c r="D166" t="s">
        <v>9</v>
      </c>
      <c r="E166">
        <v>2</v>
      </c>
      <c r="F166" s="2">
        <v>15076.76</v>
      </c>
      <c r="G166" s="2">
        <f t="shared" si="7"/>
        <v>30153.52</v>
      </c>
      <c r="H166" t="s">
        <v>13</v>
      </c>
      <c r="I166" s="14" t="str">
        <f t="shared" si="8"/>
        <v>No Discount</v>
      </c>
    </row>
    <row r="167" spans="1:9" x14ac:dyDescent="0.35">
      <c r="A167" s="1" t="s">
        <v>19</v>
      </c>
      <c r="B167" t="s">
        <v>31</v>
      </c>
      <c r="C167" t="s">
        <v>12</v>
      </c>
      <c r="D167" t="s">
        <v>9</v>
      </c>
      <c r="E167">
        <v>8</v>
      </c>
      <c r="F167" s="2">
        <v>10406.06</v>
      </c>
      <c r="G167" s="2">
        <f t="shared" si="7"/>
        <v>83248.479999999996</v>
      </c>
      <c r="H167" t="s">
        <v>13</v>
      </c>
      <c r="I167" s="14" t="str">
        <f t="shared" si="8"/>
        <v>No Discount</v>
      </c>
    </row>
    <row r="168" spans="1:9" x14ac:dyDescent="0.35">
      <c r="A168" s="1" t="s">
        <v>19</v>
      </c>
      <c r="B168" t="s">
        <v>25</v>
      </c>
      <c r="C168" t="s">
        <v>18</v>
      </c>
      <c r="D168" t="s">
        <v>9</v>
      </c>
      <c r="E168">
        <v>9</v>
      </c>
      <c r="F168" s="2">
        <v>14251.31</v>
      </c>
      <c r="G168" s="2">
        <f t="shared" si="7"/>
        <v>128261.79</v>
      </c>
      <c r="H168" t="s">
        <v>21</v>
      </c>
      <c r="I168" s="14">
        <f t="shared" si="8"/>
        <v>8978.3253000000004</v>
      </c>
    </row>
    <row r="169" spans="1:9" x14ac:dyDescent="0.35">
      <c r="A169" s="1" t="s">
        <v>19</v>
      </c>
      <c r="B169" t="s">
        <v>28</v>
      </c>
      <c r="C169" t="s">
        <v>8</v>
      </c>
      <c r="D169" t="s">
        <v>9</v>
      </c>
      <c r="E169">
        <v>5</v>
      </c>
      <c r="F169" s="2">
        <v>7279.27</v>
      </c>
      <c r="G169" s="2">
        <f t="shared" si="7"/>
        <v>36396.350000000006</v>
      </c>
      <c r="H169" t="s">
        <v>26</v>
      </c>
      <c r="I169" s="14" t="str">
        <f t="shared" si="8"/>
        <v>No Discount</v>
      </c>
    </row>
    <row r="170" spans="1:9" x14ac:dyDescent="0.35">
      <c r="A170" s="1" t="s">
        <v>19</v>
      </c>
      <c r="B170" t="s">
        <v>28</v>
      </c>
      <c r="C170" t="s">
        <v>24</v>
      </c>
      <c r="D170" t="s">
        <v>11</v>
      </c>
      <c r="E170">
        <v>1</v>
      </c>
      <c r="F170" s="2">
        <v>357955</v>
      </c>
      <c r="G170" s="2">
        <f t="shared" si="7"/>
        <v>357955</v>
      </c>
      <c r="H170" t="s">
        <v>17</v>
      </c>
      <c r="I170" s="14">
        <f t="shared" si="8"/>
        <v>14318.2</v>
      </c>
    </row>
    <row r="171" spans="1:9" x14ac:dyDescent="0.35">
      <c r="A171" s="1" t="s">
        <v>19</v>
      </c>
      <c r="B171" t="s">
        <v>29</v>
      </c>
      <c r="C171" t="s">
        <v>18</v>
      </c>
      <c r="D171" t="s">
        <v>9</v>
      </c>
      <c r="E171">
        <v>8</v>
      </c>
      <c r="F171" s="2">
        <v>14002.03</v>
      </c>
      <c r="G171" s="2">
        <f t="shared" si="7"/>
        <v>112016.24</v>
      </c>
      <c r="H171" t="s">
        <v>17</v>
      </c>
      <c r="I171" s="14">
        <f t="shared" si="8"/>
        <v>4480.6496000000006</v>
      </c>
    </row>
    <row r="172" spans="1:9" x14ac:dyDescent="0.35">
      <c r="A172" s="1" t="s">
        <v>19</v>
      </c>
      <c r="B172" t="s">
        <v>7</v>
      </c>
      <c r="C172" t="s">
        <v>19</v>
      </c>
      <c r="D172" t="s">
        <v>9</v>
      </c>
      <c r="E172">
        <v>10</v>
      </c>
      <c r="F172" s="2">
        <v>7374.96</v>
      </c>
      <c r="G172" s="2">
        <f t="shared" si="7"/>
        <v>73749.600000000006</v>
      </c>
      <c r="H172" t="s">
        <v>21</v>
      </c>
      <c r="I172" s="14" t="str">
        <f t="shared" si="8"/>
        <v>No Discount</v>
      </c>
    </row>
    <row r="173" spans="1:9" x14ac:dyDescent="0.35">
      <c r="A173" s="1" t="s">
        <v>19</v>
      </c>
      <c r="B173" t="s">
        <v>27</v>
      </c>
      <c r="C173" t="s">
        <v>10</v>
      </c>
      <c r="D173" t="s">
        <v>11</v>
      </c>
      <c r="E173">
        <v>5</v>
      </c>
      <c r="F173" s="2">
        <v>93671.11</v>
      </c>
      <c r="G173" s="2">
        <f t="shared" si="7"/>
        <v>468355.55</v>
      </c>
      <c r="H173" t="s">
        <v>19</v>
      </c>
      <c r="I173" s="14">
        <f t="shared" si="8"/>
        <v>0</v>
      </c>
    </row>
    <row r="174" spans="1:9" x14ac:dyDescent="0.35">
      <c r="A174" s="1" t="s">
        <v>19</v>
      </c>
      <c r="B174" t="s">
        <v>27</v>
      </c>
      <c r="C174" t="s">
        <v>24</v>
      </c>
      <c r="D174" t="s">
        <v>11</v>
      </c>
      <c r="E174">
        <v>0</v>
      </c>
      <c r="F174" s="2">
        <v>308409.15000000002</v>
      </c>
      <c r="G174" s="2">
        <f t="shared" si="7"/>
        <v>0</v>
      </c>
      <c r="H174" t="s">
        <v>26</v>
      </c>
      <c r="I174" s="14" t="str">
        <f t="shared" si="8"/>
        <v>No Discount</v>
      </c>
    </row>
    <row r="175" spans="1:9" x14ac:dyDescent="0.35">
      <c r="A175" s="1" t="s">
        <v>19</v>
      </c>
      <c r="B175" t="s">
        <v>20</v>
      </c>
      <c r="C175" t="s">
        <v>19</v>
      </c>
      <c r="D175" t="s">
        <v>11</v>
      </c>
      <c r="E175">
        <v>4</v>
      </c>
      <c r="F175" s="2">
        <v>0</v>
      </c>
      <c r="G175" s="2">
        <f t="shared" si="7"/>
        <v>0</v>
      </c>
      <c r="H175" t="s">
        <v>26</v>
      </c>
      <c r="I175" s="14" t="str">
        <f t="shared" si="8"/>
        <v>No Discount</v>
      </c>
    </row>
    <row r="176" spans="1:9" x14ac:dyDescent="0.35">
      <c r="A176" s="1" t="s">
        <v>19</v>
      </c>
      <c r="B176" t="s">
        <v>31</v>
      </c>
      <c r="C176" t="s">
        <v>8</v>
      </c>
      <c r="D176" t="s">
        <v>9</v>
      </c>
      <c r="E176">
        <v>4</v>
      </c>
      <c r="F176" s="2">
        <v>0</v>
      </c>
      <c r="G176" s="2">
        <f t="shared" si="7"/>
        <v>0</v>
      </c>
      <c r="H176" t="s">
        <v>17</v>
      </c>
      <c r="I176" s="14" t="str">
        <f t="shared" si="8"/>
        <v>No Discount</v>
      </c>
    </row>
    <row r="177" spans="1:9" x14ac:dyDescent="0.35">
      <c r="A177" s="1" t="s">
        <v>19</v>
      </c>
      <c r="B177" t="s">
        <v>27</v>
      </c>
      <c r="C177" t="s">
        <v>18</v>
      </c>
      <c r="D177" t="s">
        <v>9</v>
      </c>
      <c r="E177">
        <v>5</v>
      </c>
      <c r="F177" s="2">
        <v>14746.09</v>
      </c>
      <c r="G177" s="2">
        <f t="shared" si="7"/>
        <v>73730.45</v>
      </c>
      <c r="H177" t="s">
        <v>21</v>
      </c>
      <c r="I177" s="14" t="str">
        <f t="shared" si="8"/>
        <v>No Discount</v>
      </c>
    </row>
    <row r="178" spans="1:9" x14ac:dyDescent="0.35">
      <c r="A178" s="1" t="s">
        <v>19</v>
      </c>
      <c r="B178" t="s">
        <v>25</v>
      </c>
      <c r="C178" t="s">
        <v>24</v>
      </c>
      <c r="D178" t="s">
        <v>11</v>
      </c>
      <c r="E178">
        <v>2</v>
      </c>
      <c r="F178" s="2">
        <v>0</v>
      </c>
      <c r="G178" s="2">
        <f t="shared" si="7"/>
        <v>0</v>
      </c>
      <c r="H178" t="s">
        <v>21</v>
      </c>
      <c r="I178" s="14" t="str">
        <f t="shared" si="8"/>
        <v>No Discount</v>
      </c>
    </row>
    <row r="179" spans="1:9" x14ac:dyDescent="0.35">
      <c r="A179" s="1" t="s">
        <v>19</v>
      </c>
      <c r="B179" t="s">
        <v>30</v>
      </c>
      <c r="C179" t="s">
        <v>14</v>
      </c>
      <c r="D179" t="s">
        <v>15</v>
      </c>
      <c r="E179">
        <v>1</v>
      </c>
      <c r="F179" s="2">
        <v>68379.14</v>
      </c>
      <c r="G179" s="2">
        <f t="shared" si="7"/>
        <v>68379.14</v>
      </c>
      <c r="H179" t="s">
        <v>26</v>
      </c>
      <c r="I179" s="14" t="str">
        <f t="shared" si="8"/>
        <v>No Discount</v>
      </c>
    </row>
    <row r="180" spans="1:9" x14ac:dyDescent="0.35">
      <c r="A180" s="1" t="s">
        <v>19</v>
      </c>
      <c r="B180" t="s">
        <v>7</v>
      </c>
      <c r="C180" t="s">
        <v>22</v>
      </c>
      <c r="D180" t="s">
        <v>15</v>
      </c>
      <c r="E180">
        <v>9</v>
      </c>
      <c r="F180" s="2">
        <v>48615.06</v>
      </c>
      <c r="G180" s="2">
        <f t="shared" si="7"/>
        <v>437535.54</v>
      </c>
      <c r="H180" t="s">
        <v>21</v>
      </c>
      <c r="I180" s="14">
        <f t="shared" si="8"/>
        <v>30627.487800000003</v>
      </c>
    </row>
    <row r="181" spans="1:9" x14ac:dyDescent="0.35">
      <c r="A181" s="1" t="s">
        <v>19</v>
      </c>
      <c r="B181" t="s">
        <v>28</v>
      </c>
      <c r="C181" t="s">
        <v>8</v>
      </c>
      <c r="D181" t="s">
        <v>9</v>
      </c>
      <c r="E181">
        <v>1</v>
      </c>
      <c r="F181" s="2">
        <v>8182.45</v>
      </c>
      <c r="G181" s="2">
        <f t="shared" si="7"/>
        <v>8182.45</v>
      </c>
      <c r="H181" t="s">
        <v>17</v>
      </c>
      <c r="I181" s="14" t="str">
        <f t="shared" si="8"/>
        <v>No Discount</v>
      </c>
    </row>
    <row r="182" spans="1:9" x14ac:dyDescent="0.35">
      <c r="A182" s="1" t="s">
        <v>19</v>
      </c>
      <c r="B182" t="s">
        <v>27</v>
      </c>
      <c r="C182" t="s">
        <v>12</v>
      </c>
      <c r="D182" t="s">
        <v>9</v>
      </c>
      <c r="E182">
        <v>9</v>
      </c>
      <c r="F182" s="2">
        <v>0</v>
      </c>
      <c r="G182" s="2">
        <f t="shared" si="7"/>
        <v>0</v>
      </c>
      <c r="H182" t="s">
        <v>17</v>
      </c>
      <c r="I182" s="14" t="str">
        <f t="shared" si="8"/>
        <v>No Discount</v>
      </c>
    </row>
    <row r="183" spans="1:9" x14ac:dyDescent="0.35">
      <c r="A183" s="1" t="s">
        <v>19</v>
      </c>
      <c r="B183" t="s">
        <v>30</v>
      </c>
      <c r="C183" t="s">
        <v>19</v>
      </c>
      <c r="D183" t="s">
        <v>11</v>
      </c>
      <c r="E183">
        <v>10</v>
      </c>
      <c r="F183" s="2">
        <v>174464.25</v>
      </c>
      <c r="G183" s="2">
        <f t="shared" si="7"/>
        <v>1744642.5</v>
      </c>
      <c r="H183" t="s">
        <v>17</v>
      </c>
      <c r="I183" s="14">
        <f t="shared" si="8"/>
        <v>69785.7</v>
      </c>
    </row>
    <row r="184" spans="1:9" x14ac:dyDescent="0.35">
      <c r="A184" s="1" t="s">
        <v>19</v>
      </c>
      <c r="B184" t="s">
        <v>25</v>
      </c>
      <c r="C184" t="s">
        <v>24</v>
      </c>
      <c r="D184" t="s">
        <v>11</v>
      </c>
      <c r="E184">
        <v>7</v>
      </c>
      <c r="F184" s="2">
        <v>368064.54</v>
      </c>
      <c r="G184" s="2">
        <f t="shared" si="7"/>
        <v>2576451.7799999998</v>
      </c>
      <c r="H184" t="s">
        <v>17</v>
      </c>
      <c r="I184" s="14">
        <f t="shared" si="8"/>
        <v>103058.07119999999</v>
      </c>
    </row>
    <row r="185" spans="1:9" x14ac:dyDescent="0.35">
      <c r="A185" s="1" t="s">
        <v>19</v>
      </c>
      <c r="B185" t="s">
        <v>20</v>
      </c>
      <c r="C185" t="s">
        <v>22</v>
      </c>
      <c r="D185" t="s">
        <v>15</v>
      </c>
      <c r="E185">
        <v>4</v>
      </c>
      <c r="F185" s="2">
        <v>42276.15</v>
      </c>
      <c r="G185" s="2">
        <f t="shared" si="7"/>
        <v>169104.6</v>
      </c>
      <c r="H185" t="s">
        <v>13</v>
      </c>
      <c r="I185" s="14">
        <f t="shared" si="8"/>
        <v>13528.368</v>
      </c>
    </row>
    <row r="186" spans="1:9" x14ac:dyDescent="0.35">
      <c r="A186" s="1" t="s">
        <v>19</v>
      </c>
      <c r="B186" t="s">
        <v>20</v>
      </c>
      <c r="C186" t="s">
        <v>24</v>
      </c>
      <c r="D186" t="s">
        <v>11</v>
      </c>
      <c r="E186">
        <v>5</v>
      </c>
      <c r="F186" s="2">
        <v>313046.23</v>
      </c>
      <c r="G186" s="2">
        <f t="shared" si="7"/>
        <v>1565231.15</v>
      </c>
      <c r="H186" t="s">
        <v>21</v>
      </c>
      <c r="I186" s="14">
        <f t="shared" si="8"/>
        <v>109566.1805</v>
      </c>
    </row>
    <row r="187" spans="1:9" x14ac:dyDescent="0.35">
      <c r="A187" s="1" t="s">
        <v>19</v>
      </c>
      <c r="B187" t="s">
        <v>25</v>
      </c>
      <c r="C187" t="s">
        <v>18</v>
      </c>
      <c r="D187" t="s">
        <v>9</v>
      </c>
      <c r="E187">
        <v>10</v>
      </c>
      <c r="F187" s="2">
        <v>15333.05</v>
      </c>
      <c r="G187" s="2">
        <f t="shared" si="7"/>
        <v>153330.5</v>
      </c>
      <c r="H187" t="s">
        <v>21</v>
      </c>
      <c r="I187" s="14">
        <f t="shared" si="8"/>
        <v>10733.135</v>
      </c>
    </row>
    <row r="188" spans="1:9" x14ac:dyDescent="0.35">
      <c r="A188" s="1" t="s">
        <v>19</v>
      </c>
      <c r="B188" t="s">
        <v>27</v>
      </c>
      <c r="C188" t="s">
        <v>22</v>
      </c>
      <c r="D188" t="s">
        <v>15</v>
      </c>
      <c r="E188">
        <v>5</v>
      </c>
      <c r="F188" s="2">
        <v>45084.14</v>
      </c>
      <c r="G188" s="2">
        <f t="shared" si="7"/>
        <v>225420.7</v>
      </c>
      <c r="H188" t="s">
        <v>21</v>
      </c>
      <c r="I188" s="14">
        <f t="shared" si="8"/>
        <v>15779.449000000002</v>
      </c>
    </row>
    <row r="189" spans="1:9" x14ac:dyDescent="0.35">
      <c r="A189" s="1" t="s">
        <v>19</v>
      </c>
      <c r="B189" t="s">
        <v>29</v>
      </c>
      <c r="C189" t="s">
        <v>18</v>
      </c>
      <c r="D189" t="s">
        <v>9</v>
      </c>
      <c r="E189">
        <v>10</v>
      </c>
      <c r="F189" s="2">
        <v>16675.310000000001</v>
      </c>
      <c r="G189" s="2">
        <f t="shared" si="7"/>
        <v>166753.1</v>
      </c>
      <c r="H189" t="s">
        <v>21</v>
      </c>
      <c r="I189" s="14">
        <f t="shared" si="8"/>
        <v>11672.717000000002</v>
      </c>
    </row>
    <row r="190" spans="1:9" x14ac:dyDescent="0.35">
      <c r="A190" s="1" t="s">
        <v>19</v>
      </c>
      <c r="B190" t="s">
        <v>7</v>
      </c>
      <c r="C190" t="s">
        <v>8</v>
      </c>
      <c r="D190" t="s">
        <v>9</v>
      </c>
      <c r="E190">
        <v>3</v>
      </c>
      <c r="F190" s="2">
        <v>0</v>
      </c>
      <c r="G190" s="2">
        <f t="shared" si="7"/>
        <v>0</v>
      </c>
      <c r="H190" t="s">
        <v>17</v>
      </c>
      <c r="I190" s="14" t="str">
        <f t="shared" si="8"/>
        <v>No Discount</v>
      </c>
    </row>
    <row r="191" spans="1:9" x14ac:dyDescent="0.35">
      <c r="A191" s="1" t="s">
        <v>19</v>
      </c>
      <c r="B191" t="s">
        <v>28</v>
      </c>
      <c r="C191" t="s">
        <v>12</v>
      </c>
      <c r="D191" t="s">
        <v>9</v>
      </c>
      <c r="E191">
        <v>10</v>
      </c>
      <c r="F191" s="2">
        <v>12990.1</v>
      </c>
      <c r="G191" s="2">
        <f t="shared" si="7"/>
        <v>129901</v>
      </c>
      <c r="H191" t="s">
        <v>21</v>
      </c>
      <c r="I191" s="14">
        <f t="shared" si="8"/>
        <v>9093.0700000000015</v>
      </c>
    </row>
    <row r="192" spans="1:9" x14ac:dyDescent="0.35">
      <c r="A192" s="1" t="s">
        <v>19</v>
      </c>
      <c r="B192" t="s">
        <v>27</v>
      </c>
      <c r="C192" t="s">
        <v>22</v>
      </c>
      <c r="D192" t="s">
        <v>15</v>
      </c>
      <c r="E192">
        <v>4</v>
      </c>
      <c r="F192" s="2">
        <v>38345.57</v>
      </c>
      <c r="G192" s="2">
        <f t="shared" si="7"/>
        <v>153382.28</v>
      </c>
      <c r="H192" t="s">
        <v>21</v>
      </c>
      <c r="I192" s="14">
        <f t="shared" si="8"/>
        <v>10736.759600000001</v>
      </c>
    </row>
    <row r="193" spans="1:9" x14ac:dyDescent="0.35">
      <c r="A193" s="1" t="s">
        <v>19</v>
      </c>
      <c r="B193" t="s">
        <v>31</v>
      </c>
      <c r="C193" t="s">
        <v>23</v>
      </c>
      <c r="D193" t="s">
        <v>11</v>
      </c>
      <c r="E193">
        <v>5</v>
      </c>
      <c r="F193" s="2">
        <v>162828.26999999999</v>
      </c>
      <c r="G193" s="2">
        <f t="shared" si="7"/>
        <v>814141.35</v>
      </c>
      <c r="H193" t="s">
        <v>21</v>
      </c>
      <c r="I193" s="14">
        <f t="shared" si="8"/>
        <v>56989.894500000002</v>
      </c>
    </row>
    <row r="194" spans="1:9" x14ac:dyDescent="0.35">
      <c r="A194" s="1" t="s">
        <v>19</v>
      </c>
      <c r="B194" t="s">
        <v>29</v>
      </c>
      <c r="C194" t="s">
        <v>14</v>
      </c>
      <c r="D194" t="s">
        <v>15</v>
      </c>
      <c r="E194">
        <v>2</v>
      </c>
      <c r="F194" s="2">
        <v>73330.59</v>
      </c>
      <c r="G194" s="2">
        <f t="shared" si="7"/>
        <v>146661.18</v>
      </c>
      <c r="H194" t="s">
        <v>17</v>
      </c>
      <c r="I194" s="14">
        <f t="shared" ref="I194:I200" si="9">IF(G194&gt;=100000,G194*VLOOKUP(H194,$L$1:$M$7,2,FALSE),"No Discount")</f>
        <v>5866.4471999999996</v>
      </c>
    </row>
    <row r="195" spans="1:9" x14ac:dyDescent="0.35">
      <c r="A195" s="1" t="s">
        <v>19</v>
      </c>
      <c r="B195" t="s">
        <v>25</v>
      </c>
      <c r="C195" t="s">
        <v>14</v>
      </c>
      <c r="D195" t="s">
        <v>15</v>
      </c>
      <c r="E195">
        <v>4</v>
      </c>
      <c r="F195" s="2">
        <v>72885.58</v>
      </c>
      <c r="G195" s="2">
        <f t="shared" ref="G195:G200" si="10">E195*F195</f>
        <v>291542.32</v>
      </c>
      <c r="H195" t="s">
        <v>16</v>
      </c>
      <c r="I195" s="14">
        <f t="shared" si="9"/>
        <v>17492.539199999999</v>
      </c>
    </row>
    <row r="196" spans="1:9" x14ac:dyDescent="0.35">
      <c r="A196" s="1" t="s">
        <v>19</v>
      </c>
      <c r="B196" t="s">
        <v>27</v>
      </c>
      <c r="C196" t="s">
        <v>22</v>
      </c>
      <c r="D196" t="s">
        <v>15</v>
      </c>
      <c r="E196">
        <v>10</v>
      </c>
      <c r="F196" s="2">
        <v>41015.83</v>
      </c>
      <c r="G196" s="2">
        <f t="shared" si="10"/>
        <v>410158.30000000005</v>
      </c>
      <c r="H196" t="s">
        <v>26</v>
      </c>
      <c r="I196" s="14">
        <f t="shared" si="9"/>
        <v>20507.915000000005</v>
      </c>
    </row>
    <row r="197" spans="1:9" x14ac:dyDescent="0.35">
      <c r="A197" s="1" t="s">
        <v>19</v>
      </c>
      <c r="B197" t="s">
        <v>25</v>
      </c>
      <c r="C197" t="s">
        <v>10</v>
      </c>
      <c r="D197" t="s">
        <v>11</v>
      </c>
      <c r="E197">
        <v>3</v>
      </c>
      <c r="F197" s="2">
        <v>89674.6</v>
      </c>
      <c r="G197" s="2">
        <f t="shared" si="10"/>
        <v>269023.80000000005</v>
      </c>
      <c r="H197" t="s">
        <v>19</v>
      </c>
      <c r="I197" s="14">
        <f t="shared" si="9"/>
        <v>0</v>
      </c>
    </row>
    <row r="198" spans="1:9" x14ac:dyDescent="0.35">
      <c r="A198" s="1" t="s">
        <v>19</v>
      </c>
      <c r="B198" t="s">
        <v>20</v>
      </c>
      <c r="C198" t="s">
        <v>8</v>
      </c>
      <c r="D198" t="s">
        <v>9</v>
      </c>
      <c r="E198">
        <v>3</v>
      </c>
      <c r="F198" s="2">
        <v>7618.03</v>
      </c>
      <c r="G198" s="2">
        <f t="shared" si="10"/>
        <v>22854.09</v>
      </c>
      <c r="H198" t="s">
        <v>19</v>
      </c>
      <c r="I198" s="14" t="str">
        <f t="shared" si="9"/>
        <v>No Discount</v>
      </c>
    </row>
    <row r="199" spans="1:9" x14ac:dyDescent="0.35">
      <c r="A199" s="1" t="s">
        <v>19</v>
      </c>
      <c r="B199" t="s">
        <v>25</v>
      </c>
      <c r="C199" t="s">
        <v>10</v>
      </c>
      <c r="D199" t="s">
        <v>11</v>
      </c>
      <c r="E199">
        <v>2</v>
      </c>
      <c r="F199" s="2">
        <v>0</v>
      </c>
      <c r="G199" s="2">
        <f t="shared" si="10"/>
        <v>0</v>
      </c>
      <c r="H199" t="s">
        <v>16</v>
      </c>
      <c r="I199" s="14" t="str">
        <f t="shared" si="9"/>
        <v>No Discount</v>
      </c>
    </row>
    <row r="200" spans="1:9" x14ac:dyDescent="0.35">
      <c r="A200" s="1" t="s">
        <v>19</v>
      </c>
      <c r="B200" t="s">
        <v>31</v>
      </c>
      <c r="C200" t="s">
        <v>12</v>
      </c>
      <c r="D200" t="s">
        <v>9</v>
      </c>
      <c r="E200">
        <v>-2</v>
      </c>
      <c r="F200" s="2">
        <v>13164.24</v>
      </c>
      <c r="G200" s="2">
        <f t="shared" si="10"/>
        <v>-26328.48</v>
      </c>
      <c r="H200" t="s">
        <v>19</v>
      </c>
      <c r="I200" s="14" t="str">
        <f t="shared" si="9"/>
        <v>No Discount</v>
      </c>
    </row>
  </sheetData>
  <sortState ref="A2:G211">
    <sortCondition ref="A2"/>
  </sortState>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selection activeCell="I16" sqref="I16"/>
    </sheetView>
  </sheetViews>
  <sheetFormatPr defaultRowHeight="14.5" x14ac:dyDescent="0.35"/>
  <cols>
    <col min="1" max="1" width="16.08984375" customWidth="1"/>
    <col min="2" max="2" width="16.08984375" bestFit="1" customWidth="1"/>
    <col min="3" max="3" width="12.36328125" customWidth="1"/>
    <col min="4" max="4" width="16.08984375" style="15" bestFit="1" customWidth="1"/>
    <col min="6" max="6" width="12.36328125" bestFit="1" customWidth="1"/>
    <col min="7" max="7" width="16.08984375" style="15" bestFit="1" customWidth="1"/>
    <col min="9" max="9" width="12.36328125" bestFit="1" customWidth="1"/>
    <col min="10" max="10" width="16.08984375" style="15" bestFit="1" customWidth="1"/>
  </cols>
  <sheetData>
    <row r="1" spans="1:10" x14ac:dyDescent="0.35">
      <c r="A1" s="6"/>
    </row>
    <row r="3" spans="1:10" x14ac:dyDescent="0.35">
      <c r="A3" s="5" t="s">
        <v>33</v>
      </c>
      <c r="C3" s="4" t="s">
        <v>34</v>
      </c>
      <c r="D3" s="15" t="s">
        <v>33</v>
      </c>
      <c r="F3" s="4" t="s">
        <v>34</v>
      </c>
      <c r="G3" s="15" t="s">
        <v>33</v>
      </c>
      <c r="I3" s="4" t="s">
        <v>34</v>
      </c>
      <c r="J3" s="15" t="s">
        <v>33</v>
      </c>
    </row>
    <row r="4" spans="1:10" x14ac:dyDescent="0.35">
      <c r="A4" s="6">
        <v>64049736.120000012</v>
      </c>
      <c r="C4" s="3" t="s">
        <v>9</v>
      </c>
      <c r="D4" s="15">
        <v>4308195.790000001</v>
      </c>
      <c r="F4" s="3" t="s">
        <v>8</v>
      </c>
      <c r="G4" s="15">
        <v>660708.2300000001</v>
      </c>
      <c r="I4" s="3" t="s">
        <v>17</v>
      </c>
      <c r="J4" s="15">
        <v>22228499.18</v>
      </c>
    </row>
    <row r="5" spans="1:10" x14ac:dyDescent="0.35">
      <c r="C5" s="3" t="s">
        <v>11</v>
      </c>
      <c r="D5" s="15">
        <v>48255027.190000005</v>
      </c>
      <c r="F5" s="3" t="s">
        <v>12</v>
      </c>
      <c r="G5" s="15">
        <v>1010990.9899999999</v>
      </c>
      <c r="I5" s="3" t="s">
        <v>26</v>
      </c>
      <c r="J5" s="15">
        <v>8316228.0499999989</v>
      </c>
    </row>
    <row r="6" spans="1:10" x14ac:dyDescent="0.35">
      <c r="C6" s="3" t="s">
        <v>15</v>
      </c>
      <c r="D6" s="15">
        <v>11486513.139999997</v>
      </c>
      <c r="F6" s="3" t="s">
        <v>18</v>
      </c>
      <c r="G6" s="15">
        <v>2253500.9</v>
      </c>
      <c r="I6" s="3" t="s">
        <v>16</v>
      </c>
      <c r="J6" s="15">
        <v>4004582.74</v>
      </c>
    </row>
    <row r="7" spans="1:10" x14ac:dyDescent="0.35">
      <c r="F7" s="3" t="s">
        <v>19</v>
      </c>
      <c r="G7" s="15">
        <v>2668400</v>
      </c>
      <c r="I7" s="3" t="s">
        <v>21</v>
      </c>
      <c r="J7" s="15">
        <v>9658059.0999999978</v>
      </c>
    </row>
    <row r="8" spans="1:10" x14ac:dyDescent="0.35">
      <c r="F8" s="3" t="s">
        <v>22</v>
      </c>
      <c r="G8" s="15">
        <v>4162262.51</v>
      </c>
      <c r="I8" s="3" t="s">
        <v>19</v>
      </c>
      <c r="J8" s="15">
        <v>11192963.720000004</v>
      </c>
    </row>
    <row r="9" spans="1:10" x14ac:dyDescent="0.35">
      <c r="A9" s="4" t="s">
        <v>34</v>
      </c>
      <c r="B9" s="5" t="s">
        <v>33</v>
      </c>
      <c r="F9" s="3" t="s">
        <v>14</v>
      </c>
      <c r="G9" s="15">
        <v>6783488.7999999989</v>
      </c>
      <c r="I9" s="3" t="s">
        <v>13</v>
      </c>
      <c r="J9" s="15">
        <v>8649403.3300000001</v>
      </c>
    </row>
    <row r="10" spans="1:10" x14ac:dyDescent="0.35">
      <c r="A10" s="3" t="s">
        <v>7</v>
      </c>
      <c r="B10" s="6">
        <v>7799765.4899999993</v>
      </c>
      <c r="F10" s="3" t="s">
        <v>10</v>
      </c>
      <c r="G10" s="15">
        <v>6984522.7499999991</v>
      </c>
    </row>
    <row r="11" spans="1:10" x14ac:dyDescent="0.35">
      <c r="A11" s="3" t="s">
        <v>25</v>
      </c>
      <c r="B11" s="6">
        <v>9446133.3599999994</v>
      </c>
      <c r="F11" s="3" t="s">
        <v>23</v>
      </c>
      <c r="G11" s="15">
        <v>11244209.02</v>
      </c>
    </row>
    <row r="12" spans="1:10" x14ac:dyDescent="0.35">
      <c r="A12" s="3" t="s">
        <v>29</v>
      </c>
      <c r="B12" s="6">
        <v>5934920.2000000002</v>
      </c>
      <c r="F12" s="3" t="s">
        <v>24</v>
      </c>
      <c r="G12" s="15">
        <v>28281652.920000002</v>
      </c>
    </row>
    <row r="13" spans="1:10" x14ac:dyDescent="0.35">
      <c r="A13" s="3" t="s">
        <v>27</v>
      </c>
      <c r="B13" s="6">
        <v>8554345.6199999992</v>
      </c>
    </row>
    <row r="14" spans="1:10" x14ac:dyDescent="0.35">
      <c r="A14" s="3" t="s">
        <v>20</v>
      </c>
      <c r="B14" s="6">
        <v>14001734.729999999</v>
      </c>
    </row>
    <row r="15" spans="1:10" x14ac:dyDescent="0.35">
      <c r="A15" s="3" t="s">
        <v>28</v>
      </c>
      <c r="B15" s="6">
        <v>6503761.9100000001</v>
      </c>
    </row>
    <row r="16" spans="1:10" x14ac:dyDescent="0.35">
      <c r="A16" s="3" t="s">
        <v>31</v>
      </c>
      <c r="B16" s="6">
        <v>6338067.6499999994</v>
      </c>
    </row>
    <row r="17" spans="1:2" x14ac:dyDescent="0.35">
      <c r="A17" s="3" t="s">
        <v>30</v>
      </c>
      <c r="B17" s="6">
        <v>5471007.1600000001</v>
      </c>
    </row>
  </sheetData>
  <pageMargins left="0.7" right="0.7" top="0.75" bottom="0.75" header="0.3" footer="0.3"/>
  <pageSetup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H1:O12"/>
  <sheetViews>
    <sheetView showGridLines="0" tabSelected="1" zoomScale="88" zoomScaleNormal="88" workbookViewId="0">
      <selection activeCell="T26" sqref="T26"/>
    </sheetView>
  </sheetViews>
  <sheetFormatPr defaultRowHeight="14.5" x14ac:dyDescent="0.35"/>
  <sheetData>
    <row r="1" spans="8:15" x14ac:dyDescent="0.35">
      <c r="H1" s="16" t="s">
        <v>36</v>
      </c>
      <c r="I1" s="17"/>
      <c r="J1" s="17"/>
      <c r="K1" s="17"/>
      <c r="L1" s="17"/>
      <c r="M1" s="17"/>
      <c r="N1" s="17"/>
      <c r="O1" s="17"/>
    </row>
    <row r="2" spans="8:15" x14ac:dyDescent="0.35">
      <c r="H2" s="17"/>
      <c r="I2" s="17"/>
      <c r="J2" s="17"/>
      <c r="K2" s="17"/>
      <c r="L2" s="17"/>
      <c r="M2" s="17"/>
      <c r="N2" s="17"/>
      <c r="O2" s="17"/>
    </row>
    <row r="4" spans="8:15" x14ac:dyDescent="0.35">
      <c r="I4" s="13"/>
    </row>
    <row r="12" spans="8:15" ht="18.5" x14ac:dyDescent="0.45">
      <c r="I12" s="7"/>
    </row>
  </sheetData>
  <mergeCells count="1">
    <mergeCell ref="H1:O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Advanced Sales Data</vt:lpstr>
      <vt:lpstr>PIVOT TABLE</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2026-03-31T19:43:35Z</dcterms:created>
  <dcterms:modified xsi:type="dcterms:W3CDTF">2026-07-25T06:38:47Z</dcterms:modified>
</cp:coreProperties>
</file>