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310" activeTab="3"/>
  </bookViews>
  <sheets>
    <sheet name="Advanced Sales Data" sheetId="1" r:id="rId1"/>
    <sheet name="Sheet4" sheetId="5" r:id="rId2"/>
    <sheet name="Sheet1" sheetId="2" r:id="rId3"/>
    <sheet name="Advanced Sales Data (2)" sheetId="6" r:id="rId4"/>
  </sheets>
  <calcPr calcId="152511"/>
  <pivotCaches>
    <pivotCache cacheId="1" r:id="rId5"/>
  </pivotCaches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3" i="1"/>
  <c r="J4" i="1"/>
  <c r="J5" i="1"/>
  <c r="J6" i="1"/>
  <c r="J7" i="1"/>
  <c r="J8" i="1"/>
  <c r="J9" i="1"/>
  <c r="J10" i="1"/>
  <c r="J11" i="1"/>
  <c r="J2" i="1"/>
  <c r="J12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</calcChain>
</file>

<file path=xl/sharedStrings.xml><?xml version="1.0" encoding="utf-8"?>
<sst xmlns="http://schemas.openxmlformats.org/spreadsheetml/2006/main" count="3258" uniqueCount="238">
  <si>
    <t>Date</t>
  </si>
  <si>
    <t>Customer Name</t>
  </si>
  <si>
    <t>Product</t>
  </si>
  <si>
    <t>Category</t>
  </si>
  <si>
    <t>Quantity</t>
  </si>
  <si>
    <t>Unit Price</t>
  </si>
  <si>
    <t>Region</t>
  </si>
  <si>
    <t>2025-01-08</t>
  </si>
  <si>
    <t>Chioma Nwoye</t>
  </si>
  <si>
    <t>Mouse</t>
  </si>
  <si>
    <t>Accessories</t>
  </si>
  <si>
    <t>ABUJA</t>
  </si>
  <si>
    <t>2025-04-17</t>
  </si>
  <si>
    <t>Printer</t>
  </si>
  <si>
    <t>Electronics</t>
  </si>
  <si>
    <t>2025-04-10</t>
  </si>
  <si>
    <t>Keyboard</t>
  </si>
  <si>
    <t>Port Harcourt</t>
  </si>
  <si>
    <t>2025-01-28</t>
  </si>
  <si>
    <t>Table</t>
  </si>
  <si>
    <t>Furniture</t>
  </si>
  <si>
    <t>Kano</t>
  </si>
  <si>
    <t>2025-04-03</t>
  </si>
  <si>
    <t>Abuja</t>
  </si>
  <si>
    <t>2025-01-12</t>
  </si>
  <si>
    <t>2025-05-17</t>
  </si>
  <si>
    <t>Headphones</t>
  </si>
  <si>
    <t>N/A</t>
  </si>
  <si>
    <t>Ibrahim Musa</t>
  </si>
  <si>
    <t>Lagos</t>
  </si>
  <si>
    <t>2025-03-30</t>
  </si>
  <si>
    <t>Chair</t>
  </si>
  <si>
    <t>lagos</t>
  </si>
  <si>
    <t>2025-01-23</t>
  </si>
  <si>
    <t>Phone</t>
  </si>
  <si>
    <t>2025-03-08</t>
  </si>
  <si>
    <t>Laptop</t>
  </si>
  <si>
    <t>2025-01-24</t>
  </si>
  <si>
    <t>2025-03-03</t>
  </si>
  <si>
    <t>2025-04-09</t>
  </si>
  <si>
    <t>Daniel Wilson</t>
  </si>
  <si>
    <t>2025-03-24</t>
  </si>
  <si>
    <t>2025-04-26</t>
  </si>
  <si>
    <t>Enugu</t>
  </si>
  <si>
    <t>2025-01-07</t>
  </si>
  <si>
    <t>2025-04-06</t>
  </si>
  <si>
    <t>2025-05-06</t>
  </si>
  <si>
    <t>2025-04-16</t>
  </si>
  <si>
    <t>2025-03-11</t>
  </si>
  <si>
    <t>2025-01-06</t>
  </si>
  <si>
    <t>2025-04-15</t>
  </si>
  <si>
    <t>2025-03-15</t>
  </si>
  <si>
    <t>2025-01-15</t>
  </si>
  <si>
    <t>2025-02-13</t>
  </si>
  <si>
    <t>2025-05-11</t>
  </si>
  <si>
    <t>2025-02-09</t>
  </si>
  <si>
    <t>2025-03-29</t>
  </si>
  <si>
    <t>2025-02-24</t>
  </si>
  <si>
    <t>2025-05-03</t>
  </si>
  <si>
    <t>2025-02-11</t>
  </si>
  <si>
    <t>2025-05-24</t>
  </si>
  <si>
    <t>2025-05-16</t>
  </si>
  <si>
    <t>2025-04-22</t>
  </si>
  <si>
    <t>2025-02-20</t>
  </si>
  <si>
    <t>2025-03-18</t>
  </si>
  <si>
    <t>2025-04-28</t>
  </si>
  <si>
    <t>2025-02-03</t>
  </si>
  <si>
    <t>2025-02-27</t>
  </si>
  <si>
    <t>2025-03-04</t>
  </si>
  <si>
    <t>2025-05-18</t>
  </si>
  <si>
    <t>2025-03-12</t>
  </si>
  <si>
    <t>2025-02-02</t>
  </si>
  <si>
    <t>2025-01-10</t>
  </si>
  <si>
    <t>2025-04-07</t>
  </si>
  <si>
    <t>2025-04-12</t>
  </si>
  <si>
    <t>2025-04-21</t>
  </si>
  <si>
    <t>2025-04-27</t>
  </si>
  <si>
    <t>2025-03-27</t>
  </si>
  <si>
    <t>2025-04-29</t>
  </si>
  <si>
    <t>2025-03-20</t>
  </si>
  <si>
    <t>2025-02-07</t>
  </si>
  <si>
    <t>2025-05-09</t>
  </si>
  <si>
    <t>2025-05-01</t>
  </si>
  <si>
    <t>2025-04-01</t>
  </si>
  <si>
    <t>2025-03-13</t>
  </si>
  <si>
    <t>2025-05-10</t>
  </si>
  <si>
    <t>2025-05-19</t>
  </si>
  <si>
    <t>2025-02-26</t>
  </si>
  <si>
    <t>2025-04-24</t>
  </si>
  <si>
    <t>2025-04-18</t>
  </si>
  <si>
    <t>2025-01-18</t>
  </si>
  <si>
    <t>2025-02-23</t>
  </si>
  <si>
    <t>2025-01-31</t>
  </si>
  <si>
    <t>2025-05-08</t>
  </si>
  <si>
    <t>2025-03-16</t>
  </si>
  <si>
    <t>2025-02-10</t>
  </si>
  <si>
    <t>2025-01-30</t>
  </si>
  <si>
    <t>2025-02-18</t>
  </si>
  <si>
    <t>2025-03-05</t>
  </si>
  <si>
    <t>2025-05-25</t>
  </si>
  <si>
    <t>2025-01-25</t>
  </si>
  <si>
    <t>2025-04-04</t>
  </si>
  <si>
    <t>2025-03-01</t>
  </si>
  <si>
    <t>2025-05-07</t>
  </si>
  <si>
    <t>2025-04-25</t>
  </si>
  <si>
    <t>2025-02-01</t>
  </si>
  <si>
    <t>2025-02-04</t>
  </si>
  <si>
    <t>2025-04-14</t>
  </si>
  <si>
    <t>2025-03-23</t>
  </si>
  <si>
    <t>2025-03-25</t>
  </si>
  <si>
    <t>2025-04-23</t>
  </si>
  <si>
    <t>2025-02-15</t>
  </si>
  <si>
    <t>2025-03-09</t>
  </si>
  <si>
    <t>2025-05-12</t>
  </si>
  <si>
    <t>2025-02-22</t>
  </si>
  <si>
    <t>2025-04-11</t>
  </si>
  <si>
    <t>2025-01-11</t>
  </si>
  <si>
    <t>2025-02-16</t>
  </si>
  <si>
    <t>2025-01-16</t>
  </si>
  <si>
    <t>2025-05-04</t>
  </si>
  <si>
    <t>2025-05-29</t>
  </si>
  <si>
    <t>2025-03-14</t>
  </si>
  <si>
    <t>2025-01-19</t>
  </si>
  <si>
    <t>2025-05-28</t>
  </si>
  <si>
    <t>2025-02-25</t>
  </si>
  <si>
    <t>2025-02-28</t>
  </si>
  <si>
    <t>2025-05-30</t>
  </si>
  <si>
    <t>John Doe</t>
  </si>
  <si>
    <t>Mary Johnson</t>
  </si>
  <si>
    <t>Grace Brown</t>
  </si>
  <si>
    <t>Peace Okafor</t>
  </si>
  <si>
    <t>David Smith</t>
  </si>
  <si>
    <t>Total Sales</t>
  </si>
  <si>
    <t>Sum of Total Sales</t>
  </si>
  <si>
    <t>Row Labels</t>
  </si>
  <si>
    <t>Grand Total</t>
  </si>
  <si>
    <t>Column1</t>
  </si>
  <si>
    <t>06/01/2025</t>
  </si>
  <si>
    <t>07/01/2025</t>
  </si>
  <si>
    <t>08/01/2025</t>
  </si>
  <si>
    <t>10/01/2025</t>
  </si>
  <si>
    <t>11/01/2025</t>
  </si>
  <si>
    <t>12/01/2025</t>
  </si>
  <si>
    <t>13/01/2025</t>
  </si>
  <si>
    <t>15/01/2025</t>
  </si>
  <si>
    <t>16/01/2025</t>
  </si>
  <si>
    <t>18/01/2025</t>
  </si>
  <si>
    <t>19/01/2025</t>
  </si>
  <si>
    <t>23/01/2025</t>
  </si>
  <si>
    <t>24/01/2025</t>
  </si>
  <si>
    <t>25/01/2025</t>
  </si>
  <si>
    <t>28/01/2025</t>
  </si>
  <si>
    <t>30/01/2025</t>
  </si>
  <si>
    <t>31/01/2025</t>
  </si>
  <si>
    <t>01/02/2025</t>
  </si>
  <si>
    <t>02/02/2025</t>
  </si>
  <si>
    <t>03/02/2025</t>
  </si>
  <si>
    <t>04/02/2025</t>
  </si>
  <si>
    <t>07/02/2025</t>
  </si>
  <si>
    <t>09/02/2025</t>
  </si>
  <si>
    <t>10/02/2025</t>
  </si>
  <si>
    <t>11/02/2025</t>
  </si>
  <si>
    <t>13/02/2025</t>
  </si>
  <si>
    <t>15/02/2025</t>
  </si>
  <si>
    <t>16/02/2025</t>
  </si>
  <si>
    <t>18/02/2025</t>
  </si>
  <si>
    <t>20/02/2025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</si>
  <si>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</si>
  <si>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</si>
  <si>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</si>
  <si>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</si>
  <si>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</si>
  <si>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</si>
  <si>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</si>
  <si>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</si>
  <si>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03/03/2025</t>
  </si>
  <si>
    <t>04/03/2025</t>
  </si>
  <si>
    <t>05/03/2025</t>
  </si>
  <si>
    <t>08/03/2025</t>
  </si>
  <si>
    <t>09/03/2025</t>
  </si>
  <si>
    <t>11/03/2025</t>
  </si>
  <si>
    <t>12/03/2025</t>
  </si>
  <si>
    <t>13/03/2025</t>
  </si>
  <si>
    <t>14/03/2025</t>
  </si>
  <si>
    <t>15/03/2025</t>
  </si>
  <si>
    <t>16/03/2025</t>
  </si>
  <si>
    <t>18/03/2025</t>
  </si>
  <si>
    <t>20/03/2025</t>
  </si>
  <si>
    <t>23/03/2025</t>
  </si>
  <si>
    <t>24/03/2025</t>
  </si>
  <si>
    <t>25/03/2025</t>
  </si>
  <si>
    <t>27/03/2025</t>
  </si>
  <si>
    <t>29/03/2025</t>
  </si>
  <si>
    <t>30/03/2025</t>
  </si>
  <si>
    <t>01/04/2025</t>
  </si>
  <si>
    <t>03/04/2025</t>
  </si>
  <si>
    <t>04/04/2025</t>
  </si>
  <si>
    <t>06/04/2025</t>
  </si>
  <si>
    <t>07/04/2025</t>
  </si>
  <si>
    <t>09/04/2025</t>
  </si>
  <si>
    <t>10/04/2025</t>
  </si>
  <si>
    <t>11/04/2025</t>
  </si>
  <si>
    <t>12/04/2025</t>
  </si>
  <si>
    <t>14/04/2025</t>
  </si>
  <si>
    <t>15/04/2025</t>
  </si>
  <si>
    <t>16/04/2025</t>
  </si>
  <si>
    <t>17/04/2025</t>
  </si>
  <si>
    <t>18/04/2025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</si>
  <si>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</si>
  <si>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</si>
  <si>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</si>
  <si>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</si>
  <si>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</si>
  <si>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</si>
  <si>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</si>
  <si>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</si>
  <si>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</si>
  <si>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01/05/2025</t>
  </si>
  <si>
    <t>03/05/2025</t>
  </si>
  <si>
    <t>04/05/2025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</si>
  <si>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</si>
  <si>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</si>
  <si>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</si>
  <si>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</si>
  <si>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</si>
  <si>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</si>
  <si>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</si>
  <si>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16/05/2025</t>
  </si>
  <si>
    <t>17/05/2025</t>
  </si>
  <si>
    <t>18/05/2025</t>
  </si>
  <si>
    <t>19/05/2025</t>
  </si>
  <si>
    <t>24/05/2025</t>
  </si>
  <si>
    <t>25/05/2025</t>
  </si>
  <si>
    <t>28/05/2025</t>
  </si>
  <si>
    <t>29/05/2025</t>
  </si>
  <si>
    <t>30/05/2025</t>
  </si>
  <si>
    <t>Column2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</si>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</sst>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₦-46A]#,##0.00"/>
    <numFmt numFmtId="165" formatCode="dd/mm/yyyy"/>
  </numFmts>
  <fonts count="5">
    <font>
      <sz val="11"/>
      <color theme="1"/>
      <name val="Calibri"/>
      <family val="2"/>
      <scheme val="minor"/>
    </font>
    <font>
      <b/>
      <sz val="11"/>
      <color theme="1"/>
      <name val="Aptow"/>
    </font>
    <font>
      <sz val="11"/>
      <color theme="1"/>
      <name val="Aptow"/>
    </font>
    <font>
      <b/>
      <sz val="12"/>
      <color theme="1"/>
      <name val="Aptow"/>
    </font>
    <font>
      <b/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2" fillId="0" borderId="0" xfId="0" applyNumberFormat="1" applyFont="1"/>
    <xf numFmtId="164" fontId="0" fillId="0" borderId="0" xfId="0" applyNumberFormat="1"/>
    <xf numFmtId="0" fontId="4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3" fillId="0" borderId="0" xfId="0" applyNumberFormat="1" applyFont="1" applyAlignment="1">
      <alignment horizontal="center"/>
    </xf>
    <xf numFmtId="14" fontId="2" fillId="0" borderId="0" xfId="0" applyNumberFormat="1" applyFont="1"/>
    <xf numFmtId="165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 applyAlignme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w"/>
        <scheme val="none"/>
      </font>
      <numFmt numFmtId="164" formatCode="[$₦-46A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w"/>
        <scheme val="none"/>
      </font>
      <numFmt numFmtId="164" formatCode="[$₦-46A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w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w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w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16.767929861111" createdVersion="5" refreshedVersion="5" minRefreshableVersion="3" recordCount="200">
  <cacheSource type="worksheet">
    <worksheetSource name="Table2"/>
  </cacheSource>
  <cacheFields count="8">
    <cacheField name="Date" numFmtId="0">
      <sharedItems count="100">
        <s v="06/01/2025"/>
        <s v="07/01/2025"/>
        <s v="08/01/2025"/>
        <s v="10/01/2025"/>
        <s v="11/01/2025"/>
        <s v="12/01/2025"/>
        <s v="13/01/2025"/>
        <s v="15/01/2025"/>
        <s v="16/01/2025"/>
        <s v="18/01/2025"/>
        <s v="19/01/2025"/>
        <s v="23/01/2025"/>
        <s v="24/01/2025"/>
        <s v="25/01/2025"/>
        <s v="28/01/2025"/>
        <s v="30/01/2025"/>
        <s v="31/01/2025"/>
        <s v="01/02/2025"/>
        <s v="02/02/2025"/>
        <s v="03/02/2025"/>
        <s v="04/02/2025"/>
        <s v="07/02/2025"/>
        <s v="09/02/2025"/>
        <s v="10/02/2025"/>
        <s v="11/02/2025"/>
        <s v="13/02/2025"/>
        <s v="15/02/2025"/>
        <s v="16/02/2025"/>
        <s v="18/02/2025"/>
        <s v="20/02/2025"/>
        <s v="22/02/2025"/>
        <s v="23/02/2025"/>
        <s v="24/02/2025"/>
        <s v="25/02/2025"/>
        <s v="26/02/2025"/>
        <s v="27/02/2025"/>
        <s v="28/02/2025"/>
        <s v="01/03/2025"/>
        <s v="03/03/2025"/>
        <s v="04/03/2025"/>
        <s v="05/03/2025"/>
        <s v="08/03/2025"/>
        <s v="09/03/2025"/>
        <s v="11/03/2025"/>
        <s v="12/03/2025"/>
        <s v="13/03/2025"/>
        <s v="14/03/2025"/>
        <s v="15/03/2025"/>
        <s v="16/03/2025"/>
        <s v="18/03/2025"/>
        <s v="20/03/2025"/>
        <s v="23/03/2025"/>
        <s v="24/03/2025"/>
        <s v="25/03/2025"/>
        <s v="27/03/2025"/>
        <s v="29/03/2025"/>
        <s v="30/03/2025"/>
        <s v="01/04/2025"/>
        <s v="03/04/2025"/>
        <s v="04/04/2025"/>
        <s v="06/04/2025"/>
        <s v="07/04/2025"/>
        <s v="09/04/2025"/>
        <s v="10/04/2025"/>
        <s v="11/04/2025"/>
        <s v="12/04/2025"/>
        <s v="14/04/2025"/>
        <s v="15/04/2025"/>
        <s v="16/04/2025"/>
        <s v="17/04/2025"/>
        <s v="18/04/2025"/>
        <s v="21/04/2025"/>
        <s v="22/04/2025"/>
        <s v="23/04/2025"/>
        <s v="24/04/2025"/>
        <s v="25/04/2025"/>
        <s v="26/04/2025"/>
        <s v="27/04/2025"/>
        <s v="28/04/2025"/>
        <s v="29/04/2025"/>
        <s v="01/05/2025"/>
        <s v="03/05/2025"/>
        <s v="04/05/2025"/>
        <s v="06/05/2025"/>
        <s v="07/05/2025"/>
        <s v="08/05/2025"/>
        <s v="09/05/2025"/>
        <s v="10/05/2025"/>
        <s v="11/05/2025"/>
        <s v="12/05/2025"/>
        <s v="16/05/2025"/>
        <s v="17/05/2025"/>
        <s v="18/05/2025"/>
        <s v="19/05/2025"/>
        <s v="24/05/2025"/>
        <s v="25/05/2025"/>
        <s v="28/05/2025"/>
        <s v="29/05/2025"/>
        <s v="30/05/2025"/>
        <s v="N/A"/>
      </sharedItems>
    </cacheField>
    <cacheField name="Customer Name" numFmtId="0">
      <sharedItems/>
    </cacheField>
    <cacheField name="Product" numFmtId="0">
      <sharedItems containsBlank="1"/>
    </cacheField>
    <cacheField name="Category" numFmtId="0">
      <sharedItems/>
    </cacheField>
    <cacheField name="Quantity" numFmtId="0">
      <sharedItems containsSemiMixedTypes="0" containsString="0" containsNumber="1" containsInteger="1" minValue="-2" maxValue="10"/>
    </cacheField>
    <cacheField name="Unit Price" numFmtId="164">
      <sharedItems containsSemiMixedTypes="0" containsString="0" containsNumber="1" minValue="0" maxValue="400060.02"/>
    </cacheField>
    <cacheField name="Total Sales" numFmtId="164">
      <sharedItems containsSemiMixedTypes="0" containsString="0" containsNumber="1" minValue="-195995.82" maxValue="3505608.2700000005"/>
    </cacheField>
    <cacheField name="Reg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x v="0"/>
    <s v="Ibrahim Musa"/>
    <s v="Phone"/>
    <s v="Electronics"/>
    <n v="5"/>
    <n v="204140.09"/>
    <n v="1020700.45"/>
    <s v="Abuja"/>
  </r>
  <r>
    <x v="1"/>
    <s v="Grace Brown"/>
    <s v="Mouse"/>
    <s v="Accessories"/>
    <n v="5"/>
    <n v="8159.96"/>
    <n v="40799.800000000003"/>
    <s v="Port Harcourt"/>
  </r>
  <r>
    <x v="1"/>
    <s v="John Doe"/>
    <s v="Headphones"/>
    <s v="Accessories"/>
    <n v="3"/>
    <n v="0"/>
    <n v="0"/>
    <s v="Abuja"/>
  </r>
  <r>
    <x v="2"/>
    <s v="Chioma Nwoye"/>
    <s v="Mouse"/>
    <s v="Accessories"/>
    <n v="0"/>
    <n v="7020"/>
    <n v="0"/>
    <s v="Abuja"/>
  </r>
  <r>
    <x v="2"/>
    <s v="Chioma Nwoye"/>
    <s v="Headphones"/>
    <s v="Accessories"/>
    <n v="10"/>
    <n v="13927.77"/>
    <n v="139277.70000000001"/>
    <s v="Port Harcourt"/>
  </r>
  <r>
    <x v="3"/>
    <s v="Daniel Wilson"/>
    <s v="Laptop"/>
    <s v="Electronics"/>
    <n v="5"/>
    <n v="0"/>
    <n v="0"/>
    <s v="Lagos"/>
  </r>
  <r>
    <x v="3"/>
    <s v="Ibrahim Musa"/>
    <s v="N/A"/>
    <s v="Accessories"/>
    <n v="10"/>
    <n v="13767.94"/>
    <n v="137679.4"/>
    <s v="Abuja"/>
  </r>
  <r>
    <x v="4"/>
    <s v="John Doe"/>
    <s v="Keyboard"/>
    <s v="Accessories"/>
    <n v="1"/>
    <n v="12658.08"/>
    <n v="12658.08"/>
    <s v="Port Harcourt"/>
  </r>
  <r>
    <x v="4"/>
    <s v="John Doe"/>
    <s v="Table"/>
    <s v="Furniture"/>
    <n v="5"/>
    <n v="0"/>
    <n v="0"/>
    <s v="Kano"/>
  </r>
  <r>
    <x v="5"/>
    <s v="David Smith"/>
    <s v="Printer"/>
    <s v="Electronics"/>
    <n v="2"/>
    <n v="0"/>
    <n v="0"/>
    <s v="Port Harcourt"/>
  </r>
  <r>
    <x v="6"/>
    <s v="Chioma Nwoye"/>
    <s v="Headphones"/>
    <s v="Accessories"/>
    <n v="5"/>
    <n v="0"/>
    <n v="0"/>
    <s v="Lagos"/>
  </r>
  <r>
    <x v="7"/>
    <s v="Peace Okafor"/>
    <s v="Table"/>
    <s v="Furniture"/>
    <n v="1"/>
    <n v="91767.26"/>
    <n v="91767.26"/>
    <s v="Lagos"/>
  </r>
  <r>
    <x v="7"/>
    <s v="Mary Johnson"/>
    <s v="Phone"/>
    <s v="Electronics"/>
    <n v="-1"/>
    <n v="195995.82"/>
    <n v="-195995.82"/>
    <s v="Enugu"/>
  </r>
  <r>
    <x v="8"/>
    <s v="Chioma Nwoye"/>
    <s v="Headphones"/>
    <s v="Accessories"/>
    <n v="7"/>
    <n v="13189.05"/>
    <n v="92323.349999999991"/>
    <s v="Lagos"/>
  </r>
  <r>
    <x v="9"/>
    <s v="David Smith"/>
    <s v="Chair"/>
    <s v="Furniture"/>
    <n v="2"/>
    <n v="44765.47"/>
    <n v="89530.94"/>
    <s v="Abuja"/>
  </r>
  <r>
    <x v="9"/>
    <s v="Mary Johnson"/>
    <s v="Table"/>
    <s v="Furniture"/>
    <n v="4"/>
    <n v="90133.86"/>
    <n v="360535.44"/>
    <s v="Enugu"/>
  </r>
  <r>
    <x v="10"/>
    <s v="Mary Johnson"/>
    <s v="Headphones"/>
    <s v="Accessories"/>
    <n v="5"/>
    <n v="16952.41"/>
    <n v="84762.05"/>
    <s v="Port Harcourt"/>
  </r>
  <r>
    <x v="11"/>
    <s v="David Smith"/>
    <s v="Phone"/>
    <s v="Electronics"/>
    <n v="10"/>
    <n v="193020.41"/>
    <n v="1930204.1"/>
    <s v="Abuja"/>
  </r>
  <r>
    <x v="11"/>
    <s v="Chioma Nwoye"/>
    <s v="Laptop"/>
    <s v="Electronics"/>
    <n v="0"/>
    <n v="314132.18"/>
    <n v="0"/>
    <s v="Abuja"/>
  </r>
  <r>
    <x v="11"/>
    <s v="Peace Okafor"/>
    <s v="Table"/>
    <s v="Furniture"/>
    <n v="7"/>
    <n v="87243.92"/>
    <n v="610707.43999999994"/>
    <s v="N/A"/>
  </r>
  <r>
    <x v="12"/>
    <s v="David Smith"/>
    <s v="Mouse"/>
    <s v="Accessories"/>
    <n v="1"/>
    <n v="0"/>
    <n v="0"/>
    <s v="Abuja"/>
  </r>
  <r>
    <x v="12"/>
    <s v="Daniel Wilson"/>
    <s v="Table"/>
    <s v="Furniture"/>
    <n v="5"/>
    <n v="79645.63"/>
    <n v="398228.15"/>
    <s v="Abuja"/>
  </r>
  <r>
    <x v="13"/>
    <s v="Peace Okafor"/>
    <s v="Chair"/>
    <s v="Furniture"/>
    <n v="3"/>
    <n v="39663.14"/>
    <n v="118989.42"/>
    <s v="Port Harcourt"/>
  </r>
  <r>
    <x v="14"/>
    <s v="Grace Brown"/>
    <s v="Table"/>
    <s v="Furniture"/>
    <n v="8"/>
    <n v="76173.37"/>
    <n v="609386.96"/>
    <s v="Kano"/>
  </r>
  <r>
    <x v="14"/>
    <s v="Daniel Wilson"/>
    <s v="Headphones"/>
    <s v="Accessories"/>
    <n v="9"/>
    <n v="0"/>
    <n v="0"/>
    <s v="Lagos"/>
  </r>
  <r>
    <x v="14"/>
    <s v="David Smith"/>
    <s v="Laptop"/>
    <s v="Electronics"/>
    <n v="5"/>
    <n v="388950.08"/>
    <n v="1944750.4000000001"/>
    <s v="Kano"/>
  </r>
  <r>
    <x v="15"/>
    <s v="Chioma Nwoye"/>
    <s v="Laptop"/>
    <s v="Electronics"/>
    <n v="5"/>
    <n v="0"/>
    <n v="0"/>
    <s v="Abuja"/>
  </r>
  <r>
    <x v="15"/>
    <s v="Ibrahim Musa"/>
    <s v="Phone"/>
    <s v="Electronics"/>
    <n v="7"/>
    <n v="179016.2"/>
    <n v="1253113.4000000001"/>
    <s v="N/A"/>
  </r>
  <r>
    <x v="16"/>
    <s v="John Doe"/>
    <s v="Laptop"/>
    <s v="Electronics"/>
    <n v="5"/>
    <n v="383639.73"/>
    <n v="1918198.65"/>
    <s v="Port Harcourt"/>
  </r>
  <r>
    <x v="17"/>
    <s v="Daniel Wilson"/>
    <s v="Keyboard"/>
    <s v="Accessories"/>
    <n v="10"/>
    <n v="11105.06"/>
    <n v="111050.59999999999"/>
    <s v="Port Harcourt"/>
  </r>
  <r>
    <x v="18"/>
    <s v="Mary Johnson"/>
    <s v="Mouse"/>
    <s v="Accessories"/>
    <n v="7"/>
    <n v="8009.15"/>
    <n v="56064.049999999996"/>
    <s v="Kano"/>
  </r>
  <r>
    <x v="18"/>
    <s v="Ibrahim Musa"/>
    <s v="Laptop"/>
    <s v="Electronics"/>
    <n v="3"/>
    <n v="321202.15999999997"/>
    <n v="963606.48"/>
    <s v="Abuja"/>
  </r>
  <r>
    <x v="19"/>
    <s v="Daniel Wilson"/>
    <s v="Headphones"/>
    <s v="Accessories"/>
    <n v="2"/>
    <n v="12963.47"/>
    <n v="25926.94"/>
    <s v="Abuja"/>
  </r>
  <r>
    <x v="20"/>
    <s v="Ibrahim Musa"/>
    <s v="Headphones"/>
    <s v="Accessories"/>
    <n v="10"/>
    <n v="15291.86"/>
    <n v="152918.6"/>
    <s v="Lagos"/>
  </r>
  <r>
    <x v="20"/>
    <s v="Chioma Nwoye"/>
    <s v="N/A"/>
    <s v="Furniture"/>
    <n v="3"/>
    <n v="0"/>
    <n v="0"/>
    <s v="Lagos"/>
  </r>
  <r>
    <x v="21"/>
    <s v="Ibrahim Musa"/>
    <s v="Keyboard"/>
    <s v="Accessories"/>
    <n v="3"/>
    <n v="12524.88"/>
    <n v="37574.639999999999"/>
    <s v="Abuja"/>
  </r>
  <r>
    <x v="21"/>
    <s v="David Smith"/>
    <s v="Table"/>
    <s v="Furniture"/>
    <n v="5"/>
    <n v="85057.33"/>
    <n v="425286.65"/>
    <s v="Abuja"/>
  </r>
  <r>
    <x v="22"/>
    <s v="Chioma Nwoye"/>
    <s v="N/A"/>
    <s v="Furniture"/>
    <n v="5"/>
    <n v="73299.990000000005"/>
    <n v="366499.95"/>
    <s v="Abuja"/>
  </r>
  <r>
    <x v="22"/>
    <s v="Peace Okafor"/>
    <s v="Mouse"/>
    <s v="Accessories"/>
    <n v="9"/>
    <n v="7040.92"/>
    <n v="63368.28"/>
    <s v="Abuja"/>
  </r>
  <r>
    <x v="22"/>
    <s v="Grace Brown"/>
    <s v="Headphones"/>
    <s v="Accessories"/>
    <n v="6"/>
    <n v="13062.14"/>
    <n v="78372.84"/>
    <s v="Abuja"/>
  </r>
  <r>
    <x v="23"/>
    <s v="Daniel Wilson"/>
    <s v="Table"/>
    <s v="Furniture"/>
    <n v="2"/>
    <n v="76356.73"/>
    <n v="152713.46"/>
    <s v="Enugu"/>
  </r>
  <r>
    <x v="23"/>
    <s v="David Smith"/>
    <s v="Headphones"/>
    <s v="Accessories"/>
    <n v="1"/>
    <n v="13482.82"/>
    <n v="13482.82"/>
    <s v="Lagos"/>
  </r>
  <r>
    <x v="24"/>
    <s v="Ibrahim Musa"/>
    <s v="Printer"/>
    <s v="Electronics"/>
    <n v="8"/>
    <n v="105878.62"/>
    <n v="847028.96"/>
    <s v="Port Harcourt"/>
  </r>
  <r>
    <x v="24"/>
    <s v="Chioma Nwoye"/>
    <s v="Keyboard"/>
    <s v="Accessories"/>
    <n v="8"/>
    <n v="11955.67"/>
    <n v="95645.36"/>
    <s v="Port Harcourt"/>
  </r>
  <r>
    <x v="25"/>
    <s v="Peace Okafor"/>
    <s v="N/A"/>
    <s v="Electronics"/>
    <n v="7"/>
    <n v="0"/>
    <n v="0"/>
    <s v="Abuja"/>
  </r>
  <r>
    <x v="26"/>
    <s v="John Doe"/>
    <s v="Keyboard"/>
    <s v="Accessories"/>
    <n v="4"/>
    <n v="11190.13"/>
    <n v="44760.52"/>
    <s v="Lagos"/>
  </r>
  <r>
    <x v="27"/>
    <s v="David Smith"/>
    <s v="Chair"/>
    <s v="Furniture"/>
    <n v="4"/>
    <n v="49789.24"/>
    <n v="199156.96"/>
    <s v="N/A"/>
  </r>
  <r>
    <x v="28"/>
    <s v="Grace Brown"/>
    <s v="Mouse"/>
    <s v="Accessories"/>
    <n v="10"/>
    <n v="7286.17"/>
    <n v="72861.7"/>
    <s v="N/A"/>
  </r>
  <r>
    <x v="28"/>
    <s v="Daniel Wilson"/>
    <s v="Laptop"/>
    <s v="Electronics"/>
    <n v="5"/>
    <n v="316216.90999999997"/>
    <n v="1581084.5499999998"/>
    <s v="Abuja"/>
  </r>
  <r>
    <x v="29"/>
    <s v="Peace Okafor"/>
    <s v="Chair"/>
    <s v="Furniture"/>
    <n v="6"/>
    <n v="0"/>
    <n v="0"/>
    <s v="Abuja"/>
  </r>
  <r>
    <x v="30"/>
    <s v="Grace Brown"/>
    <s v="Phone"/>
    <s v="Electronics"/>
    <n v="9"/>
    <n v="0"/>
    <n v="0"/>
    <s v="Lagos"/>
  </r>
  <r>
    <x v="31"/>
    <s v="Peace Okafor"/>
    <s v="Chair"/>
    <s v="Furniture"/>
    <n v="10"/>
    <n v="0"/>
    <n v="0"/>
    <s v="Port Harcourt"/>
  </r>
  <r>
    <x v="31"/>
    <s v="Ibrahim Musa"/>
    <s v="Headphones"/>
    <s v="Accessories"/>
    <n v="7"/>
    <n v="13515.87"/>
    <n v="94611.090000000011"/>
    <s v="N/A"/>
  </r>
  <r>
    <x v="32"/>
    <s v="John Doe"/>
    <s v="Keyboard"/>
    <s v="Accessories"/>
    <n v="4"/>
    <n v="13057.78"/>
    <n v="52231.12"/>
    <s v="Abuja"/>
  </r>
  <r>
    <x v="32"/>
    <s v="Mary Johnson"/>
    <s v="Headphones"/>
    <s v="Accessories"/>
    <n v="10"/>
    <n v="15980.14"/>
    <n v="159801.4"/>
    <s v="Abuja"/>
  </r>
  <r>
    <x v="32"/>
    <s v="John Doe"/>
    <s v="Headphones"/>
    <s v="Accessories"/>
    <n v="7"/>
    <n v="16026.02"/>
    <n v="112182.14"/>
    <s v="Abuja"/>
  </r>
  <r>
    <x v="33"/>
    <s v="John Doe"/>
    <s v="Table"/>
    <s v="Furniture"/>
    <n v="7"/>
    <n v="80872.61"/>
    <n v="566108.27"/>
    <s v="N/A"/>
  </r>
  <r>
    <x v="34"/>
    <s v="John Doe"/>
    <s v="Printer"/>
    <s v="Electronics"/>
    <n v="2"/>
    <n v="106607.48"/>
    <n v="213214.96"/>
    <s v="Enugu"/>
  </r>
  <r>
    <x v="35"/>
    <s v="Peace Okafor"/>
    <s v="Headphones"/>
    <s v="Accessories"/>
    <n v="1"/>
    <n v="15976.72"/>
    <n v="15976.72"/>
    <s v="Enugu"/>
  </r>
  <r>
    <x v="36"/>
    <s v="Daniel Wilson"/>
    <s v="Printer"/>
    <s v="Electronics"/>
    <n v="6"/>
    <n v="0"/>
    <n v="0"/>
    <s v="Abuja"/>
  </r>
  <r>
    <x v="37"/>
    <s v="Grace Brown"/>
    <s v="Keyboard"/>
    <s v="Accessories"/>
    <n v="4"/>
    <n v="11884.61"/>
    <n v="47538.44"/>
    <s v="Kano"/>
  </r>
  <r>
    <x v="38"/>
    <s v="John Doe"/>
    <s v="Headphones"/>
    <s v="Accessories"/>
    <n v="2"/>
    <n v="14934.23"/>
    <n v="29868.46"/>
    <s v="Kano"/>
  </r>
  <r>
    <x v="39"/>
    <s v="Ibrahim Musa"/>
    <s v="Headphones"/>
    <s v="Accessories"/>
    <n v="3"/>
    <n v="15792.03"/>
    <n v="47376.090000000004"/>
    <s v="Enugu"/>
  </r>
  <r>
    <x v="39"/>
    <s v="Grace Brown"/>
    <s v="Laptop"/>
    <s v="Electronics"/>
    <n v="0"/>
    <n v="383679.59"/>
    <n v="0"/>
    <s v="Abuja"/>
  </r>
  <r>
    <x v="39"/>
    <s v="Chioma Nwoye"/>
    <s v="Laptop"/>
    <s v="Electronics"/>
    <n v="6"/>
    <n v="339552.57"/>
    <n v="2037315.42"/>
    <s v="Lagos"/>
  </r>
  <r>
    <x v="40"/>
    <s v="David Smith"/>
    <s v="Headphones"/>
    <s v="Accessories"/>
    <n v="1"/>
    <n v="15886.27"/>
    <n v="15886.27"/>
    <s v="Abuja"/>
  </r>
  <r>
    <x v="40"/>
    <s v="Daniel Wilson"/>
    <s v="Phone"/>
    <s v="Electronics"/>
    <n v="8"/>
    <n v="0"/>
    <n v="0"/>
    <s v="Lagos"/>
  </r>
  <r>
    <x v="41"/>
    <s v="Peace Okafor"/>
    <s v="Laptop"/>
    <s v="Electronics"/>
    <n v="10"/>
    <n v="0"/>
    <n v="0"/>
    <s v="Lagos"/>
  </r>
  <r>
    <x v="42"/>
    <s v="Mary Johnson"/>
    <s v="Headphones"/>
    <s v="Accessories"/>
    <n v="7"/>
    <n v="17221.41"/>
    <n v="120549.87"/>
    <s v="Lagos"/>
  </r>
  <r>
    <x v="42"/>
    <s v="Daniel Wilson"/>
    <s v="Laptop"/>
    <s v="Electronics"/>
    <n v="7"/>
    <n v="335230.39"/>
    <n v="2346612.73"/>
    <s v="Enugu"/>
  </r>
  <r>
    <x v="43"/>
    <s v="David Smith"/>
    <s v="Mouse"/>
    <s v="Accessories"/>
    <n v="9"/>
    <n v="0"/>
    <n v="0"/>
    <s v="N/A"/>
  </r>
  <r>
    <x v="44"/>
    <s v="Peace Okafor"/>
    <s v="Laptop"/>
    <s v="Electronics"/>
    <n v="5"/>
    <n v="374619.09"/>
    <n v="1873095.4500000002"/>
    <s v="N/A"/>
  </r>
  <r>
    <x v="44"/>
    <s v="Chioma Nwoye"/>
    <s v="Laptop"/>
    <s v="Electronics"/>
    <n v="1"/>
    <n v="322447.65000000002"/>
    <n v="322447.65000000002"/>
    <s v="Port Harcourt"/>
  </r>
  <r>
    <x v="45"/>
    <s v="David Smith"/>
    <s v="Mouse"/>
    <s v="Accessories"/>
    <n v="6"/>
    <n v="9199.8700000000008"/>
    <n v="55199.22"/>
    <s v="Kano"/>
  </r>
  <r>
    <x v="46"/>
    <s v="David Smith"/>
    <s v="Printer"/>
    <s v="Electronics"/>
    <n v="5"/>
    <n v="0"/>
    <n v="0"/>
    <s v="Port Harcourt"/>
  </r>
  <r>
    <x v="47"/>
    <s v="Ibrahim Musa"/>
    <s v="Laptop"/>
    <s v="Electronics"/>
    <n v="9"/>
    <n v="303650.28999999998"/>
    <n v="2732852.61"/>
    <s v="Abuja"/>
  </r>
  <r>
    <x v="47"/>
    <s v="David Smith"/>
    <s v="Headphones"/>
    <s v="Accessories"/>
    <n v="3"/>
    <n v="15469.86"/>
    <n v="46409.58"/>
    <s v="Port Harcourt"/>
  </r>
  <r>
    <x v="48"/>
    <s v="Ibrahim Musa"/>
    <s v="Keyboard"/>
    <s v="Accessories"/>
    <n v="8"/>
    <n v="0"/>
    <n v="0"/>
    <s v="Abuja"/>
  </r>
  <r>
    <x v="49"/>
    <s v="Chioma Nwoye"/>
    <s v="Mouse"/>
    <s v="Accessories"/>
    <n v="6"/>
    <n v="8809.18"/>
    <n v="52855.08"/>
    <s v="Lagos"/>
  </r>
  <r>
    <x v="49"/>
    <s v="Chioma Nwoye"/>
    <s v="Headphones"/>
    <s v="Accessories"/>
    <n v="7"/>
    <n v="14907.33"/>
    <n v="104351.31"/>
    <s v="Kano"/>
  </r>
  <r>
    <x v="50"/>
    <s v="Daniel Wilson"/>
    <s v="Chair"/>
    <s v="Furniture"/>
    <n v="4"/>
    <n v="49113.74"/>
    <n v="196454.96"/>
    <s v="N/A"/>
  </r>
  <r>
    <x v="50"/>
    <s v="Ibrahim Musa"/>
    <s v="Table"/>
    <s v="Furniture"/>
    <n v="10"/>
    <n v="85269.65"/>
    <n v="852696.5"/>
    <s v="Abuja"/>
  </r>
  <r>
    <x v="51"/>
    <s v="Ibrahim Musa"/>
    <s v="Laptop"/>
    <s v="Electronics"/>
    <n v="6"/>
    <n v="320845.82"/>
    <n v="1925074.92"/>
    <s v="Enugu"/>
  </r>
  <r>
    <x v="51"/>
    <s v="Peace Okafor"/>
    <s v="Phone"/>
    <s v="Electronics"/>
    <n v="5"/>
    <n v="0"/>
    <n v="0"/>
    <s v="Lagos"/>
  </r>
  <r>
    <x v="51"/>
    <s v="David Smith"/>
    <s v="N/A"/>
    <s v="Furniture"/>
    <n v="6"/>
    <n v="42407.83"/>
    <n v="254446.98"/>
    <s v="N/A"/>
  </r>
  <r>
    <x v="52"/>
    <s v="Grace Brown"/>
    <s v="Phone"/>
    <s v="Electronics"/>
    <n v="1"/>
    <n v="0"/>
    <n v="0"/>
    <s v="Abuja"/>
  </r>
  <r>
    <x v="52"/>
    <s v="Daniel Wilson"/>
    <s v="Mouse"/>
    <s v="Accessories"/>
    <n v="1"/>
    <n v="9102.31"/>
    <n v="9102.31"/>
    <s v="Port Harcourt"/>
  </r>
  <r>
    <x v="53"/>
    <s v="Chioma Nwoye"/>
    <s v="N/A"/>
    <s v="Accessories"/>
    <n v="3"/>
    <n v="0"/>
    <n v="0"/>
    <s v="N/A"/>
  </r>
  <r>
    <x v="54"/>
    <s v="Chioma Nwoye"/>
    <s v="Keyboard"/>
    <s v="Accessories"/>
    <n v="4"/>
    <n v="11086.19"/>
    <n v="44344.76"/>
    <s v="Kano"/>
  </r>
  <r>
    <x v="55"/>
    <s v="Grace Brown"/>
    <s v="Laptop"/>
    <s v="Electronics"/>
    <n v="3"/>
    <n v="343709.26"/>
    <n v="1031127.78"/>
    <s v="Lagos"/>
  </r>
  <r>
    <x v="56"/>
    <s v="Mary Johnson"/>
    <s v="Chair"/>
    <s v="Furniture"/>
    <n v="4"/>
    <n v="49205.08"/>
    <n v="196820.32"/>
    <s v="Lagos"/>
  </r>
  <r>
    <x v="57"/>
    <s v="Mary Johnson"/>
    <s v="Printer"/>
    <s v="Electronics"/>
    <n v="4"/>
    <n v="102358.45"/>
    <n v="409433.8"/>
    <s v="Enugu"/>
  </r>
  <r>
    <x v="57"/>
    <s v="Grace Brown"/>
    <s v="Table"/>
    <s v="Furniture"/>
    <n v="3"/>
    <n v="89308.63"/>
    <n v="267925.89"/>
    <s v="Kano"/>
  </r>
  <r>
    <x v="58"/>
    <s v="Peace Okafor"/>
    <s v="Table"/>
    <s v="Furniture"/>
    <n v="5"/>
    <n v="77011.75"/>
    <n v="385058.75"/>
    <s v="Abuja"/>
  </r>
  <r>
    <x v="58"/>
    <s v="Ibrahim Musa"/>
    <s v="Headphones"/>
    <s v="Accessories"/>
    <n v="3"/>
    <n v="14627.54"/>
    <n v="43882.62"/>
    <s v="Kano"/>
  </r>
  <r>
    <x v="58"/>
    <s v="Grace Brown"/>
    <s v="Printer"/>
    <s v="Electronics"/>
    <n v="9"/>
    <n v="81867.19"/>
    <n v="736804.71"/>
    <s v="Abuja"/>
  </r>
  <r>
    <x v="58"/>
    <s v="Grace Brown"/>
    <s v="Headphones"/>
    <s v="Accessories"/>
    <n v="-1"/>
    <n v="15069.49"/>
    <n v="-15069.49"/>
    <s v="Kano"/>
  </r>
  <r>
    <x v="58"/>
    <s v="Daniel Wilson"/>
    <s v="Keyboard"/>
    <s v="Accessories"/>
    <n v="7"/>
    <n v="11015.52"/>
    <n v="77108.639999999999"/>
    <s v="Abuja"/>
  </r>
  <r>
    <x v="59"/>
    <s v="Daniel Wilson"/>
    <s v="Printer"/>
    <s v="Electronics"/>
    <n v="3"/>
    <n v="88708.41"/>
    <n v="266125.23"/>
    <s v="Abuja"/>
  </r>
  <r>
    <x v="59"/>
    <s v="Ibrahim Musa"/>
    <s v="Printer"/>
    <s v="Electronics"/>
    <n v="10"/>
    <n v="105158.68"/>
    <n v="1051586.7999999998"/>
    <s v="Abuja"/>
  </r>
  <r>
    <x v="60"/>
    <s v="Daniel Wilson"/>
    <s v="Chair"/>
    <s v="Furniture"/>
    <n v="6"/>
    <n v="0"/>
    <n v="0"/>
    <s v="Lagos"/>
  </r>
  <r>
    <x v="60"/>
    <s v="John Doe"/>
    <s v="Printer"/>
    <s v="Electronics"/>
    <n v="2"/>
    <n v="102325.79"/>
    <n v="204651.58"/>
    <s v="Lagos"/>
  </r>
  <r>
    <x v="61"/>
    <s v="Mary Johnson"/>
    <s v="Chair"/>
    <s v="Furniture"/>
    <n v="10"/>
    <n v="46682.23"/>
    <n v="466822.30000000005"/>
    <s v="Lagos"/>
  </r>
  <r>
    <x v="61"/>
    <s v="Daniel Wilson"/>
    <s v="Chair"/>
    <s v="Furniture"/>
    <n v="3"/>
    <n v="43273.57"/>
    <n v="129820.70999999999"/>
    <s v="Abuja"/>
  </r>
  <r>
    <x v="61"/>
    <s v="Chioma Nwoye"/>
    <s v="Mouse"/>
    <s v="Accessories"/>
    <n v="5"/>
    <n v="8544.4"/>
    <n v="42722"/>
    <s v="Lagos"/>
  </r>
  <r>
    <x v="61"/>
    <s v="Peace Okafor"/>
    <s v="Keyboard"/>
    <s v="Accessories"/>
    <n v="1"/>
    <n v="0"/>
    <n v="0"/>
    <s v="Abuja"/>
  </r>
  <r>
    <x v="62"/>
    <s v="Daniel Wilson"/>
    <s v="N/A"/>
    <s v="Accessories"/>
    <n v="7"/>
    <n v="11798.53"/>
    <n v="82589.710000000006"/>
    <s v="Abuja"/>
  </r>
  <r>
    <x v="62"/>
    <s v="Ibrahim Musa"/>
    <s v="Printer"/>
    <s v="Electronics"/>
    <n v="10"/>
    <n v="0"/>
    <n v="0"/>
    <s v="Enugu"/>
  </r>
  <r>
    <x v="62"/>
    <s v="Mary Johnson"/>
    <s v="Table"/>
    <s v="Furniture"/>
    <n v="7"/>
    <n v="0"/>
    <n v="0"/>
    <s v="Lagos"/>
  </r>
  <r>
    <x v="62"/>
    <s v="Peace Okafor"/>
    <s v="Keyboard"/>
    <s v="Accessories"/>
    <n v="-2"/>
    <n v="11530.56"/>
    <n v="-23061.119999999999"/>
    <s v="N/A"/>
  </r>
  <r>
    <x v="63"/>
    <s v="Mary Johnson"/>
    <s v="Keyboard"/>
    <s v="Accessories"/>
    <n v="4"/>
    <n v="12451.69"/>
    <n v="49806.76"/>
    <s v="Port Harcourt"/>
  </r>
  <r>
    <x v="63"/>
    <s v="Grace Brown"/>
    <s v="Headphones"/>
    <s v="Accessories"/>
    <n v="-2"/>
    <n v="14932.05"/>
    <n v="-29864.1"/>
    <s v="Abuja"/>
  </r>
  <r>
    <x v="64"/>
    <s v="Mary Johnson"/>
    <s v="Phone"/>
    <s v="Electronics"/>
    <n v="7"/>
    <n v="206884.76"/>
    <n v="1448193.32"/>
    <s v="N/A"/>
  </r>
  <r>
    <x v="64"/>
    <s v="Ibrahim Musa"/>
    <s v="Table"/>
    <s v="Furniture"/>
    <n v="2"/>
    <n v="0"/>
    <n v="0"/>
    <s v="Enugu"/>
  </r>
  <r>
    <x v="65"/>
    <s v="John Doe"/>
    <s v="Table"/>
    <s v="Furniture"/>
    <n v="6"/>
    <n v="71697.23"/>
    <n v="430183.38"/>
    <s v="Port Harcourt"/>
  </r>
  <r>
    <x v="66"/>
    <s v="Ibrahim Musa"/>
    <s v="Mouse"/>
    <s v="Accessories"/>
    <n v="3"/>
    <n v="7783.4"/>
    <n v="23350.199999999997"/>
    <s v="Enugu"/>
  </r>
  <r>
    <x v="66"/>
    <s v="Chioma Nwoye"/>
    <s v="N/A"/>
    <s v="Furniture"/>
    <n v="-2"/>
    <n v="40092.550000000003"/>
    <n v="-80185.100000000006"/>
    <s v="N/A"/>
  </r>
  <r>
    <x v="67"/>
    <s v="Daniel Wilson"/>
    <s v="Chair"/>
    <s v="Furniture"/>
    <n v="10"/>
    <n v="49490.85"/>
    <n v="494908.5"/>
    <s v="Abuja"/>
  </r>
  <r>
    <x v="68"/>
    <s v="Peace Okafor"/>
    <m/>
    <s v="Accessories"/>
    <n v="5"/>
    <n v="0"/>
    <n v="0"/>
    <s v="Lagos"/>
  </r>
  <r>
    <x v="68"/>
    <s v="Mary Johnson"/>
    <s v="Printer"/>
    <s v="Electronics"/>
    <n v="6"/>
    <n v="105821.36"/>
    <n v="634928.16"/>
    <s v="Port Harcourt"/>
  </r>
  <r>
    <x v="69"/>
    <s v="John Doe"/>
    <s v="Printer"/>
    <s v="Electronics"/>
    <n v="1"/>
    <n v="108357.95"/>
    <n v="108357.95"/>
    <s v="N/A"/>
  </r>
  <r>
    <x v="70"/>
    <s v="Grace Brown"/>
    <s v="Table"/>
    <s v="Furniture"/>
    <n v="8"/>
    <n v="0"/>
    <n v="0"/>
    <s v="Abuja"/>
  </r>
  <r>
    <x v="71"/>
    <s v="Grace Brown"/>
    <s v="Phone"/>
    <s v="Electronics"/>
    <n v="5"/>
    <n v="0"/>
    <n v="0"/>
    <s v="Lagos"/>
  </r>
  <r>
    <x v="72"/>
    <s v="Chioma Nwoye"/>
    <s v="Phone"/>
    <s v="Electronics"/>
    <n v="2"/>
    <n v="181314.89"/>
    <n v="362629.78"/>
    <s v="Kano"/>
  </r>
  <r>
    <x v="72"/>
    <s v="Peace Okafor"/>
    <s v="Mouse"/>
    <s v="Accessories"/>
    <n v="9"/>
    <n v="8132.34"/>
    <n v="73191.06"/>
    <s v="Kano"/>
  </r>
  <r>
    <x v="73"/>
    <s v="Grace Brown"/>
    <s v="Keyboard"/>
    <s v="Accessories"/>
    <n v="5"/>
    <n v="11907.84"/>
    <n v="59539.199999999997"/>
    <s v="N/A"/>
  </r>
  <r>
    <x v="74"/>
    <s v="David Smith"/>
    <s v="Headphones"/>
    <s v="Accessories"/>
    <n v="5"/>
    <n v="0"/>
    <n v="0"/>
    <s v="Enugu"/>
  </r>
  <r>
    <x v="75"/>
    <s v="Mary Johnson"/>
    <s v="Printer"/>
    <s v="Electronics"/>
    <n v="2"/>
    <n v="0"/>
    <n v="0"/>
    <s v="Kano"/>
  </r>
  <r>
    <x v="75"/>
    <s v="Grace Brown"/>
    <s v="N/A"/>
    <s v="Electronics"/>
    <n v="10"/>
    <n v="0"/>
    <n v="0"/>
    <s v="Lagos"/>
  </r>
  <r>
    <x v="76"/>
    <s v="John Doe"/>
    <s v="Chair"/>
    <s v="Furniture"/>
    <n v="7"/>
    <n v="43599.72"/>
    <n v="305198.04000000004"/>
    <s v="Enugu"/>
  </r>
  <r>
    <x v="76"/>
    <s v="Peace Okafor"/>
    <s v="Chair"/>
    <s v="Furniture"/>
    <n v="2"/>
    <n v="0"/>
    <n v="0"/>
    <s v="Abuja"/>
  </r>
  <r>
    <x v="77"/>
    <s v="John Doe"/>
    <s v="Headphones"/>
    <s v="Accessories"/>
    <n v="2"/>
    <n v="0"/>
    <n v="0"/>
    <s v="Lagos"/>
  </r>
  <r>
    <x v="77"/>
    <s v="Ibrahim Musa"/>
    <s v="Phone"/>
    <s v="Electronics"/>
    <n v="6"/>
    <n v="174757.36"/>
    <n v="1048544.1599999999"/>
    <s v="Lagos"/>
  </r>
  <r>
    <x v="78"/>
    <s v="Daniel Wilson"/>
    <s v="Keyboard"/>
    <s v="Accessories"/>
    <n v="8"/>
    <n v="0"/>
    <n v="0"/>
    <s v="Enugu"/>
  </r>
  <r>
    <x v="79"/>
    <s v="Mary Johnson"/>
    <s v="Printer"/>
    <s v="Electronics"/>
    <n v="7"/>
    <n v="95535.15"/>
    <n v="668746.04999999993"/>
    <s v="Enugu"/>
  </r>
  <r>
    <x v="79"/>
    <s v="Peace Okafor"/>
    <s v="Printer"/>
    <s v="Electronics"/>
    <n v="6"/>
    <n v="0"/>
    <n v="0"/>
    <s v="Abuja"/>
  </r>
  <r>
    <x v="80"/>
    <s v="John Doe"/>
    <s v="Printer"/>
    <s v="Electronics"/>
    <n v="7"/>
    <n v="100398.88"/>
    <n v="702792.16"/>
    <s v="N/A"/>
  </r>
  <r>
    <x v="81"/>
    <s v="David Smith"/>
    <s v="Printer"/>
    <s v="Electronics"/>
    <n v="4"/>
    <n v="100868.26"/>
    <n v="403473.04"/>
    <s v="Enugu"/>
  </r>
  <r>
    <x v="82"/>
    <s v="Peace Okafor"/>
    <s v="Chair"/>
    <s v="Furniture"/>
    <n v="3"/>
    <n v="0"/>
    <n v="0"/>
    <s v="Abuja"/>
  </r>
  <r>
    <x v="83"/>
    <s v="Grace Brown"/>
    <s v="Mouse"/>
    <s v="Accessories"/>
    <n v="1"/>
    <n v="7032.07"/>
    <n v="7032.07"/>
    <s v="Abuja"/>
  </r>
  <r>
    <x v="84"/>
    <s v="Peace Okafor"/>
    <s v="Chair"/>
    <s v="Furniture"/>
    <n v="2"/>
    <n v="41152.379999999997"/>
    <n v="82304.759999999995"/>
    <s v="Lagos"/>
  </r>
  <r>
    <x v="85"/>
    <s v="John Doe"/>
    <s v="Mouse"/>
    <s v="Accessories"/>
    <n v="5"/>
    <n v="9141.57"/>
    <n v="45707.85"/>
    <s v="Lagos"/>
  </r>
  <r>
    <x v="86"/>
    <s v="Daniel Wilson"/>
    <s v="Chair"/>
    <s v="Furniture"/>
    <n v="4"/>
    <n v="38949.17"/>
    <n v="155796.68"/>
    <s v="Abuja"/>
  </r>
  <r>
    <x v="86"/>
    <s v="Mary Johnson"/>
    <s v="Table"/>
    <s v="Furniture"/>
    <n v="3"/>
    <n v="0"/>
    <n v="0"/>
    <s v="Abuja"/>
  </r>
  <r>
    <x v="87"/>
    <s v="Mary Johnson"/>
    <s v="Table"/>
    <s v="Furniture"/>
    <n v="10"/>
    <n v="90314.29"/>
    <n v="903142.89999999991"/>
    <s v="N/A"/>
  </r>
  <r>
    <x v="88"/>
    <s v="Grace Brown"/>
    <s v="Table"/>
    <s v="Furniture"/>
    <n v="3"/>
    <n v="74388.37"/>
    <n v="223165.11"/>
    <s v="Abuja"/>
  </r>
  <r>
    <x v="88"/>
    <s v="John Doe"/>
    <s v="Mouse"/>
    <s v="Accessories"/>
    <n v="3"/>
    <n v="8730.06"/>
    <n v="26190.18"/>
    <s v="Enugu"/>
  </r>
  <r>
    <x v="89"/>
    <s v="Grace Brown"/>
    <s v="Phone"/>
    <s v="Electronics"/>
    <n v="7"/>
    <n v="160385.10999999999"/>
    <n v="1122695.77"/>
    <s v="Abuja"/>
  </r>
  <r>
    <x v="90"/>
    <s v="John Doe"/>
    <s v="Keyboard"/>
    <s v="Accessories"/>
    <n v="4"/>
    <n v="13391.8"/>
    <n v="53567.199999999997"/>
    <s v="N/A"/>
  </r>
  <r>
    <x v="90"/>
    <s v="John Doe"/>
    <s v="Keyboard"/>
    <s v="Accessories"/>
    <n v="4"/>
    <n v="11515.53"/>
    <n v="46062.12"/>
    <s v="Abuja"/>
  </r>
  <r>
    <x v="91"/>
    <s v="Chioma Nwoye"/>
    <s v="Headphones"/>
    <s v="Accessories"/>
    <n v="8"/>
    <n v="15570.79"/>
    <n v="124566.32"/>
    <s v="Abuja"/>
  </r>
  <r>
    <x v="91"/>
    <s v="John Doe"/>
    <s v="Phone"/>
    <s v="Electronics"/>
    <n v="7"/>
    <n v="157056.35"/>
    <n v="1099394.45"/>
    <s v="Enugu"/>
  </r>
  <r>
    <x v="92"/>
    <s v="Chioma Nwoye"/>
    <s v="Printer"/>
    <s v="Electronics"/>
    <n v="2"/>
    <n v="0"/>
    <n v="0"/>
    <s v="Port Harcourt"/>
  </r>
  <r>
    <x v="93"/>
    <s v="Mary Johnson"/>
    <s v="Keyboard"/>
    <s v="Accessories"/>
    <n v="10"/>
    <n v="10339.57"/>
    <n v="103395.7"/>
    <s v="N/A"/>
  </r>
  <r>
    <x v="93"/>
    <s v="Peace Okafor"/>
    <s v="Mouse"/>
    <s v="Accessories"/>
    <n v="3"/>
    <n v="8277.18"/>
    <n v="24831.54"/>
    <s v="Abuja"/>
  </r>
  <r>
    <x v="94"/>
    <s v="Chioma Nwoye"/>
    <s v="Laptop"/>
    <s v="Electronics"/>
    <n v="9"/>
    <n v="389512.03"/>
    <n v="3505608.2700000005"/>
    <s v="Port Harcourt"/>
  </r>
  <r>
    <x v="94"/>
    <s v="Grace Brown"/>
    <s v="Laptop"/>
    <s v="Electronics"/>
    <n v="4"/>
    <n v="400060.02"/>
    <n v="1600240.08"/>
    <s v="N/A"/>
  </r>
  <r>
    <x v="95"/>
    <s v="Peace Okafor"/>
    <s v="Chair"/>
    <s v="Furniture"/>
    <n v="5"/>
    <n v="50555.8"/>
    <n v="252779"/>
    <s v="N/A"/>
  </r>
  <r>
    <x v="95"/>
    <s v="David Smith"/>
    <s v="Headphones"/>
    <s v="Accessories"/>
    <n v="1"/>
    <n v="0"/>
    <n v="0"/>
    <s v="Abuja"/>
  </r>
  <r>
    <x v="96"/>
    <s v="David Smith"/>
    <s v="Headphones"/>
    <s v="Accessories"/>
    <n v="8"/>
    <n v="16457.84"/>
    <n v="131662.72"/>
    <s v="N/A"/>
  </r>
  <r>
    <x v="97"/>
    <s v="Grace Brown"/>
    <s v="Phone"/>
    <s v="Electronics"/>
    <n v="7"/>
    <n v="191512.58"/>
    <n v="1340588.0599999998"/>
    <s v="Abuja"/>
  </r>
  <r>
    <x v="98"/>
    <s v="Peace Okafor"/>
    <s v="N/A"/>
    <s v="Accessories"/>
    <n v="8"/>
    <n v="11122.12"/>
    <n v="88976.960000000006"/>
    <s v="Kano"/>
  </r>
  <r>
    <x v="99"/>
    <s v="Ibrahim Musa"/>
    <s v="Keyboard"/>
    <s v="Accessories"/>
    <n v="1"/>
    <n v="11947.97"/>
    <n v="11947.97"/>
    <s v="Lagos"/>
  </r>
  <r>
    <x v="99"/>
    <s v="Chioma Nwoye"/>
    <s v="Chair"/>
    <s v="Furniture"/>
    <n v="2"/>
    <n v="39039.25"/>
    <n v="78078.5"/>
    <s v="N/A"/>
  </r>
  <r>
    <x v="99"/>
    <s v="Grace Brown"/>
    <s v="Headphones"/>
    <s v="Accessories"/>
    <n v="2"/>
    <n v="15076.76"/>
    <n v="30153.52"/>
    <s v="Port Harcourt"/>
  </r>
  <r>
    <x v="99"/>
    <s v="Mary Johnson"/>
    <s v="Keyboard"/>
    <s v="Accessories"/>
    <n v="8"/>
    <n v="10406.06"/>
    <n v="83248.479999999996"/>
    <s v="Port Harcourt"/>
  </r>
  <r>
    <x v="99"/>
    <s v="Daniel Wilson"/>
    <s v="Headphones"/>
    <s v="Accessories"/>
    <n v="9"/>
    <n v="14251.31"/>
    <n v="128261.79"/>
    <s v="Lagos"/>
  </r>
  <r>
    <x v="99"/>
    <s v="John Doe"/>
    <s v="Mouse"/>
    <s v="Accessories"/>
    <n v="5"/>
    <n v="7279.27"/>
    <n v="36396.350000000006"/>
    <s v="Enugu"/>
  </r>
  <r>
    <x v="99"/>
    <s v="John Doe"/>
    <s v="Laptop"/>
    <s v="Electronics"/>
    <n v="1"/>
    <n v="357955"/>
    <n v="357955"/>
    <s v="Abuja"/>
  </r>
  <r>
    <x v="99"/>
    <s v="David Smith"/>
    <s v="Headphones"/>
    <s v="Accessories"/>
    <n v="8"/>
    <n v="14002.03"/>
    <n v="112016.24"/>
    <s v="Abuja"/>
  </r>
  <r>
    <x v="99"/>
    <s v="Chioma Nwoye"/>
    <s v="N/A"/>
    <s v="Accessories"/>
    <n v="10"/>
    <n v="7374.96"/>
    <n v="73749.600000000006"/>
    <s v="Lagos"/>
  </r>
  <r>
    <x v="99"/>
    <s v="Grace Brown"/>
    <s v="Printer"/>
    <s v="Electronics"/>
    <n v="5"/>
    <n v="93671.11"/>
    <n v="468355.55"/>
    <s v="N/A"/>
  </r>
  <r>
    <x v="99"/>
    <s v="Grace Brown"/>
    <s v="Laptop"/>
    <s v="Electronics"/>
    <n v="0"/>
    <n v="308409.15000000002"/>
    <n v="0"/>
    <s v="Enugu"/>
  </r>
  <r>
    <x v="99"/>
    <s v="Ibrahim Musa"/>
    <s v="N/A"/>
    <s v="Electronics"/>
    <n v="4"/>
    <n v="0"/>
    <n v="0"/>
    <s v="Enugu"/>
  </r>
  <r>
    <x v="99"/>
    <s v="Mary Johnson"/>
    <s v="Mouse"/>
    <s v="Accessories"/>
    <n v="4"/>
    <n v="0"/>
    <n v="0"/>
    <s v="Abuja"/>
  </r>
  <r>
    <x v="99"/>
    <s v="Grace Brown"/>
    <s v="Headphones"/>
    <s v="Accessories"/>
    <n v="5"/>
    <n v="14746.09"/>
    <n v="73730.45"/>
    <s v="Lagos"/>
  </r>
  <r>
    <x v="99"/>
    <s v="Daniel Wilson"/>
    <s v="Laptop"/>
    <s v="Electronics"/>
    <n v="2"/>
    <n v="0"/>
    <n v="0"/>
    <s v="Lagos"/>
  </r>
  <r>
    <x v="99"/>
    <s v="Peace Okafor"/>
    <s v="Table"/>
    <s v="Furniture"/>
    <n v="1"/>
    <n v="68379.14"/>
    <n v="68379.14"/>
    <s v="Enugu"/>
  </r>
  <r>
    <x v="99"/>
    <s v="Chioma Nwoye"/>
    <s v="Chair"/>
    <s v="Furniture"/>
    <n v="9"/>
    <n v="48615.06"/>
    <n v="437535.54"/>
    <s v="Lagos"/>
  </r>
  <r>
    <x v="99"/>
    <s v="John Doe"/>
    <s v="Mouse"/>
    <s v="Accessories"/>
    <n v="1"/>
    <n v="8182.45"/>
    <n v="8182.45"/>
    <s v="Abuja"/>
  </r>
  <r>
    <x v="99"/>
    <s v="Grace Brown"/>
    <s v="Keyboard"/>
    <s v="Accessories"/>
    <n v="9"/>
    <n v="0"/>
    <n v="0"/>
    <s v="Abuja"/>
  </r>
  <r>
    <x v="99"/>
    <s v="Peace Okafor"/>
    <s v="N/A"/>
    <s v="Electronics"/>
    <n v="10"/>
    <n v="174464.25"/>
    <n v="1744642.5"/>
    <s v="Abuja"/>
  </r>
  <r>
    <x v="99"/>
    <s v="Daniel Wilson"/>
    <s v="Laptop"/>
    <s v="Electronics"/>
    <n v="7"/>
    <n v="368064.54"/>
    <n v="2576451.7799999998"/>
    <s v="Abuja"/>
  </r>
  <r>
    <x v="99"/>
    <s v="Ibrahim Musa"/>
    <s v="Chair"/>
    <s v="Furniture"/>
    <n v="4"/>
    <n v="42276.15"/>
    <n v="169104.6"/>
    <s v="Port Harcourt"/>
  </r>
  <r>
    <x v="99"/>
    <s v="Ibrahim Musa"/>
    <s v="Laptop"/>
    <s v="Electronics"/>
    <n v="5"/>
    <n v="313046.23"/>
    <n v="1565231.15"/>
    <s v="Lagos"/>
  </r>
  <r>
    <x v="99"/>
    <s v="Daniel Wilson"/>
    <s v="Headphones"/>
    <s v="Accessories"/>
    <n v="10"/>
    <n v="15333.05"/>
    <n v="153330.5"/>
    <s v="Lagos"/>
  </r>
  <r>
    <x v="99"/>
    <s v="Grace Brown"/>
    <s v="Chair"/>
    <s v="Furniture"/>
    <n v="5"/>
    <n v="45084.14"/>
    <n v="225420.7"/>
    <s v="Lagos"/>
  </r>
  <r>
    <x v="99"/>
    <s v="David Smith"/>
    <s v="Headphones"/>
    <s v="Accessories"/>
    <n v="10"/>
    <n v="16675.310000000001"/>
    <n v="166753.1"/>
    <s v="Lagos"/>
  </r>
  <r>
    <x v="99"/>
    <s v="Chioma Nwoye"/>
    <s v="Mouse"/>
    <s v="Accessories"/>
    <n v="3"/>
    <n v="0"/>
    <n v="0"/>
    <s v="Abuja"/>
  </r>
  <r>
    <x v="99"/>
    <s v="John Doe"/>
    <s v="Keyboard"/>
    <s v="Accessories"/>
    <n v="10"/>
    <n v="12990.1"/>
    <n v="129901"/>
    <s v="Lagos"/>
  </r>
  <r>
    <x v="99"/>
    <s v="Grace Brown"/>
    <s v="Chair"/>
    <s v="Furniture"/>
    <n v="4"/>
    <n v="38345.57"/>
    <n v="153382.28"/>
    <s v="Lagos"/>
  </r>
  <r>
    <x v="99"/>
    <s v="Mary Johnson"/>
    <s v="Phone"/>
    <s v="Electronics"/>
    <n v="5"/>
    <n v="162828.26999999999"/>
    <n v="814141.35"/>
    <s v="Lagos"/>
  </r>
  <r>
    <x v="99"/>
    <s v="David Smith"/>
    <s v="Table"/>
    <s v="Furniture"/>
    <n v="2"/>
    <n v="73330.59"/>
    <n v="146661.18"/>
    <s v="Abuja"/>
  </r>
  <r>
    <x v="99"/>
    <s v="Daniel Wilson"/>
    <s v="Table"/>
    <s v="Furniture"/>
    <n v="4"/>
    <n v="72885.58"/>
    <n v="291542.32"/>
    <s v="Kano"/>
  </r>
  <r>
    <x v="99"/>
    <s v="Grace Brown"/>
    <s v="Chair"/>
    <s v="Furniture"/>
    <n v="10"/>
    <n v="41015.83"/>
    <n v="410158.30000000005"/>
    <s v="Enugu"/>
  </r>
  <r>
    <x v="99"/>
    <s v="Daniel Wilson"/>
    <s v="Printer"/>
    <s v="Electronics"/>
    <n v="3"/>
    <n v="89674.6"/>
    <n v="269023.80000000005"/>
    <s v="N/A"/>
  </r>
  <r>
    <x v="99"/>
    <s v="Ibrahim Musa"/>
    <s v="Mouse"/>
    <s v="Accessories"/>
    <n v="3"/>
    <n v="7618.03"/>
    <n v="22854.09"/>
    <s v="N/A"/>
  </r>
  <r>
    <x v="99"/>
    <s v="Daniel Wilson"/>
    <s v="Printer"/>
    <s v="Electronics"/>
    <n v="2"/>
    <n v="0"/>
    <n v="0"/>
    <s v="Kano"/>
  </r>
  <r>
    <x v="99"/>
    <s v="Chioma Nwoye"/>
    <s v="Headphones"/>
    <s v="Accessories"/>
    <n v="10"/>
    <n v="0"/>
    <n v="0"/>
    <s v="Abuja"/>
  </r>
  <r>
    <x v="99"/>
    <s v="Mary Johnson"/>
    <s v="Keyboard"/>
    <s v="Accessories"/>
    <n v="-2"/>
    <n v="13164.24"/>
    <n v="-26328.48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04" firstHeaderRow="1" firstDataRow="1" firstDataCol="1"/>
  <pivotFields count="8">
    <pivotField axis="axisRow" showAll="0">
      <items count="101">
        <item x="17"/>
        <item x="37"/>
        <item x="57"/>
        <item x="80"/>
        <item x="18"/>
        <item x="19"/>
        <item x="38"/>
        <item x="58"/>
        <item x="81"/>
        <item x="20"/>
        <item x="39"/>
        <item x="59"/>
        <item x="82"/>
        <item x="40"/>
        <item x="0"/>
        <item x="60"/>
        <item x="83"/>
        <item x="1"/>
        <item x="21"/>
        <item x="61"/>
        <item x="84"/>
        <item x="2"/>
        <item x="41"/>
        <item x="85"/>
        <item x="22"/>
        <item x="42"/>
        <item x="62"/>
        <item x="86"/>
        <item x="3"/>
        <item x="23"/>
        <item x="63"/>
        <item x="87"/>
        <item x="4"/>
        <item x="24"/>
        <item x="43"/>
        <item x="64"/>
        <item x="88"/>
        <item x="5"/>
        <item x="44"/>
        <item x="65"/>
        <item x="89"/>
        <item x="6"/>
        <item x="25"/>
        <item x="45"/>
        <item x="46"/>
        <item x="66"/>
        <item x="7"/>
        <item x="26"/>
        <item x="47"/>
        <item x="67"/>
        <item x="8"/>
        <item x="27"/>
        <item x="48"/>
        <item x="68"/>
        <item x="90"/>
        <item x="69"/>
        <item x="91"/>
        <item x="9"/>
        <item x="28"/>
        <item x="49"/>
        <item x="70"/>
        <item x="92"/>
        <item x="10"/>
        <item x="93"/>
        <item x="29"/>
        <item x="50"/>
        <item x="71"/>
        <item x="30"/>
        <item x="72"/>
        <item x="11"/>
        <item x="31"/>
        <item x="51"/>
        <item x="73"/>
        <item x="12"/>
        <item x="32"/>
        <item x="52"/>
        <item x="74"/>
        <item x="94"/>
        <item x="13"/>
        <item x="33"/>
        <item x="53"/>
        <item x="75"/>
        <item x="95"/>
        <item x="34"/>
        <item x="76"/>
        <item x="35"/>
        <item x="54"/>
        <item x="77"/>
        <item x="14"/>
        <item x="36"/>
        <item x="78"/>
        <item x="96"/>
        <item x="55"/>
        <item x="79"/>
        <item x="97"/>
        <item x="15"/>
        <item x="56"/>
        <item x="98"/>
        <item x="16"/>
        <item x="99"/>
        <item t="default"/>
      </items>
    </pivotField>
    <pivotField showAll="0"/>
    <pivotField showAll="0"/>
    <pivotField showAll="0"/>
    <pivotField showAll="0"/>
    <pivotField numFmtId="164" showAll="0"/>
    <pivotField dataField="1" numFmtId="164" showAll="0"/>
    <pivotField showAll="0"/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I201" totalsRowShown="0" headerRowDxfId="10" dataDxfId="9">
  <autoFilter ref="A1:I201"/>
  <tableColumns count="9">
    <tableColumn id="15" name="Column1" dataDxfId="8"/>
    <tableColumn id="16" name="Column2" dataDxfId="7"/>
    <tableColumn id="2" name="Customer Name" dataDxfId="6"/>
    <tableColumn id="3" name="Product" dataDxfId="5"/>
    <tableColumn id="4" name="Category" dataDxfId="4"/>
    <tableColumn id="5" name="Quantity" dataDxfId="3"/>
    <tableColumn id="6" name="Unit Price" dataDxfId="2"/>
    <tableColumn id="7" name="Total Sales" dataDxfId="1">
      <calculatedColumnFormula>F2*G2</calculatedColumnFormula>
    </tableColumn>
    <tableColumn id="8" name="Region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Views>
    <sheetView topLeftCell="A183" workbookViewId="0">
      <selection activeCell="J2" sqref="J2:J201"/>
    </sheetView>
  </sheetViews>
  <sheetFormatPr defaultRowHeight="14.5"/>
  <cols>
    <col min="1" max="1" width="10.81640625" bestFit="1" customWidth="1"/>
    <col min="2" max="2" width="15.90625" customWidth="1"/>
    <col min="3" max="3" width="11.90625" bestFit="1" customWidth="1"/>
    <col min="4" max="4" width="11.6328125" bestFit="1" customWidth="1"/>
    <col min="6" max="6" width="10.6328125" bestFit="1" customWidth="1"/>
    <col min="7" max="7" width="12.6328125" bestFit="1" customWidth="1"/>
    <col min="9" max="9" width="10.81640625" bestFit="1" customWidth="1"/>
    <col min="10" max="10" width="10.45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0</v>
      </c>
    </row>
    <row r="2" spans="1:10">
      <c r="A2" s="2" t="s">
        <v>49</v>
      </c>
      <c r="B2" s="2" t="s">
        <v>28</v>
      </c>
      <c r="C2" s="2" t="s">
        <v>34</v>
      </c>
      <c r="D2" s="2" t="s">
        <v>14</v>
      </c>
      <c r="E2" s="2">
        <v>5</v>
      </c>
      <c r="F2" s="2">
        <v>204140.09</v>
      </c>
      <c r="G2" s="2" t="s">
        <v>23</v>
      </c>
      <c r="I2" s="2" t="s">
        <v>49</v>
      </c>
      <c r="J2" t="str">
        <f>TEXT(I2,"dd/mm/yyyy")</f>
        <v>06/01/2025</v>
      </c>
    </row>
    <row r="3" spans="1:10">
      <c r="A3" s="2" t="s">
        <v>44</v>
      </c>
      <c r="B3" s="2" t="s">
        <v>129</v>
      </c>
      <c r="C3" s="2" t="s">
        <v>9</v>
      </c>
      <c r="D3" s="2" t="s">
        <v>10</v>
      </c>
      <c r="E3" s="2">
        <v>5</v>
      </c>
      <c r="F3" s="2">
        <v>8159.96</v>
      </c>
      <c r="G3" s="2" t="s">
        <v>17</v>
      </c>
      <c r="I3" s="2" t="s">
        <v>44</v>
      </c>
      <c r="J3" t="str">
        <f t="shared" ref="J3:J11" si="0">TEXT(I3,"dd/mm/yyyy")</f>
        <v>07/01/2025</v>
      </c>
    </row>
    <row r="4" spans="1:10">
      <c r="A4" s="2" t="s">
        <v>44</v>
      </c>
      <c r="B4" s="2" t="s">
        <v>127</v>
      </c>
      <c r="C4" s="2" t="s">
        <v>26</v>
      </c>
      <c r="D4" s="2" t="s">
        <v>10</v>
      </c>
      <c r="E4" s="2">
        <v>3</v>
      </c>
      <c r="F4" s="2"/>
      <c r="G4" s="2" t="s">
        <v>11</v>
      </c>
      <c r="I4" s="2" t="s">
        <v>44</v>
      </c>
      <c r="J4" t="str">
        <f t="shared" si="0"/>
        <v>07/01/2025</v>
      </c>
    </row>
    <row r="5" spans="1:10">
      <c r="A5" s="2" t="s">
        <v>7</v>
      </c>
      <c r="B5" s="2" t="s">
        <v>8</v>
      </c>
      <c r="C5" s="2" t="s">
        <v>9</v>
      </c>
      <c r="D5" s="2" t="s">
        <v>10</v>
      </c>
      <c r="E5" s="2">
        <v>0</v>
      </c>
      <c r="F5" s="2">
        <v>7020</v>
      </c>
      <c r="G5" s="2" t="s">
        <v>11</v>
      </c>
      <c r="I5" s="2" t="s">
        <v>7</v>
      </c>
      <c r="J5" t="str">
        <f t="shared" si="0"/>
        <v>08/01/2025</v>
      </c>
    </row>
    <row r="6" spans="1:10">
      <c r="A6" s="2" t="s">
        <v>7</v>
      </c>
      <c r="B6" s="2" t="s">
        <v>8</v>
      </c>
      <c r="C6" s="2" t="s">
        <v>26</v>
      </c>
      <c r="D6" s="2" t="s">
        <v>10</v>
      </c>
      <c r="E6" s="2">
        <v>10</v>
      </c>
      <c r="F6" s="2">
        <v>13927.77</v>
      </c>
      <c r="G6" s="2" t="s">
        <v>17</v>
      </c>
      <c r="I6" s="2" t="s">
        <v>7</v>
      </c>
      <c r="J6" t="str">
        <f t="shared" si="0"/>
        <v>08/01/2025</v>
      </c>
    </row>
    <row r="7" spans="1:10">
      <c r="A7" s="2" t="s">
        <v>72</v>
      </c>
      <c r="B7" s="2" t="s">
        <v>40</v>
      </c>
      <c r="C7" s="2" t="s">
        <v>36</v>
      </c>
      <c r="D7" s="2" t="s">
        <v>14</v>
      </c>
      <c r="E7" s="2">
        <v>5</v>
      </c>
      <c r="F7" s="2"/>
      <c r="G7" s="2" t="s">
        <v>32</v>
      </c>
      <c r="I7" s="2" t="s">
        <v>72</v>
      </c>
      <c r="J7" t="str">
        <f t="shared" si="0"/>
        <v>10/01/2025</v>
      </c>
    </row>
    <row r="8" spans="1:10">
      <c r="A8" s="2" t="s">
        <v>72</v>
      </c>
      <c r="B8" s="2" t="s">
        <v>28</v>
      </c>
      <c r="C8" s="2" t="s">
        <v>27</v>
      </c>
      <c r="D8" s="2" t="s">
        <v>10</v>
      </c>
      <c r="E8" s="2">
        <v>10</v>
      </c>
      <c r="F8" s="2">
        <v>13767.94</v>
      </c>
      <c r="G8" s="2" t="s">
        <v>23</v>
      </c>
      <c r="I8" s="15" t="s">
        <v>72</v>
      </c>
      <c r="J8" t="str">
        <f t="shared" si="0"/>
        <v>10/01/2025</v>
      </c>
    </row>
    <row r="9" spans="1:10">
      <c r="A9" s="2" t="s">
        <v>116</v>
      </c>
      <c r="B9" s="2" t="s">
        <v>127</v>
      </c>
      <c r="C9" s="2" t="s">
        <v>16</v>
      </c>
      <c r="D9" s="2" t="s">
        <v>10</v>
      </c>
      <c r="E9" s="2">
        <v>1</v>
      </c>
      <c r="F9" s="2">
        <v>12658.08</v>
      </c>
      <c r="G9" s="2" t="s">
        <v>17</v>
      </c>
      <c r="I9" s="2" t="s">
        <v>116</v>
      </c>
      <c r="J9" t="str">
        <f t="shared" si="0"/>
        <v>11/01/2025</v>
      </c>
    </row>
    <row r="10" spans="1:10">
      <c r="A10" s="2" t="s">
        <v>116</v>
      </c>
      <c r="B10" s="2" t="s">
        <v>127</v>
      </c>
      <c r="C10" s="2" t="s">
        <v>19</v>
      </c>
      <c r="D10" s="2" t="s">
        <v>20</v>
      </c>
      <c r="E10" s="2">
        <v>5</v>
      </c>
      <c r="F10" s="2"/>
      <c r="G10" s="2" t="s">
        <v>21</v>
      </c>
      <c r="I10" s="2" t="s">
        <v>116</v>
      </c>
      <c r="J10" t="str">
        <f t="shared" si="0"/>
        <v>11/01/2025</v>
      </c>
    </row>
    <row r="11" spans="1:10">
      <c r="A11" s="2" t="s">
        <v>24</v>
      </c>
      <c r="B11" s="2" t="s">
        <v>131</v>
      </c>
      <c r="C11" s="2" t="s">
        <v>13</v>
      </c>
      <c r="D11" s="2" t="s">
        <v>14</v>
      </c>
      <c r="E11" s="2">
        <v>2</v>
      </c>
      <c r="F11" s="2"/>
      <c r="G11" s="2" t="s">
        <v>17</v>
      </c>
      <c r="I11" s="2" t="s">
        <v>24</v>
      </c>
      <c r="J11" t="str">
        <f t="shared" si="0"/>
        <v>12/01/2025</v>
      </c>
    </row>
    <row r="12" spans="1:10">
      <c r="A12" s="12">
        <v>45670</v>
      </c>
      <c r="B12" s="2" t="s">
        <v>8</v>
      </c>
      <c r="C12" s="2" t="s">
        <v>26</v>
      </c>
      <c r="D12" s="2" t="s">
        <v>10</v>
      </c>
      <c r="E12" s="2">
        <v>5</v>
      </c>
      <c r="F12" s="2"/>
      <c r="G12" s="2" t="s">
        <v>29</v>
      </c>
      <c r="I12" s="14">
        <v>45670</v>
      </c>
      <c r="J12" t="str">
        <f>TEXT(I12,"dd/mm/yyyy")</f>
        <v>13/01/2025</v>
      </c>
    </row>
    <row r="13" spans="1:10">
      <c r="A13" s="2" t="s">
        <v>52</v>
      </c>
      <c r="B13" s="2" t="s">
        <v>130</v>
      </c>
      <c r="C13" s="2" t="s">
        <v>19</v>
      </c>
      <c r="D13" s="2" t="s">
        <v>20</v>
      </c>
      <c r="E13" s="2">
        <v>1</v>
      </c>
      <c r="F13" s="2">
        <v>91767.26</v>
      </c>
      <c r="G13" s="2" t="s">
        <v>29</v>
      </c>
      <c r="I13" s="2" t="s">
        <v>52</v>
      </c>
      <c r="J13" t="str">
        <f t="shared" ref="J13:J76" si="1">TEXT(I13,"dd/mm/yyyy")</f>
        <v>15/01/2025</v>
      </c>
    </row>
    <row r="14" spans="1:10">
      <c r="A14" s="2" t="s">
        <v>52</v>
      </c>
      <c r="B14" s="2" t="s">
        <v>128</v>
      </c>
      <c r="C14" s="2" t="s">
        <v>34</v>
      </c>
      <c r="D14" s="2" t="s">
        <v>14</v>
      </c>
      <c r="E14" s="2">
        <v>-1</v>
      </c>
      <c r="F14" s="2">
        <v>195995.82</v>
      </c>
      <c r="G14" s="2" t="s">
        <v>43</v>
      </c>
      <c r="I14" s="2" t="s">
        <v>52</v>
      </c>
      <c r="J14" t="str">
        <f t="shared" si="1"/>
        <v>15/01/2025</v>
      </c>
    </row>
    <row r="15" spans="1:10">
      <c r="A15" s="2" t="s">
        <v>118</v>
      </c>
      <c r="B15" s="2" t="s">
        <v>8</v>
      </c>
      <c r="C15" s="2" t="s">
        <v>26</v>
      </c>
      <c r="D15" s="2" t="s">
        <v>10</v>
      </c>
      <c r="E15" s="2">
        <v>7</v>
      </c>
      <c r="F15" s="2">
        <v>13189.05</v>
      </c>
      <c r="G15" s="2" t="s">
        <v>32</v>
      </c>
      <c r="I15" s="2" t="s">
        <v>118</v>
      </c>
      <c r="J15" t="str">
        <f t="shared" si="1"/>
        <v>16/01/2025</v>
      </c>
    </row>
    <row r="16" spans="1:10">
      <c r="A16" s="2" t="s">
        <v>90</v>
      </c>
      <c r="B16" s="2" t="s">
        <v>131</v>
      </c>
      <c r="C16" s="2" t="s">
        <v>31</v>
      </c>
      <c r="D16" s="2" t="s">
        <v>20</v>
      </c>
      <c r="E16" s="2">
        <v>2</v>
      </c>
      <c r="F16" s="2">
        <v>44765.47</v>
      </c>
      <c r="G16" s="2" t="s">
        <v>23</v>
      </c>
      <c r="I16" s="2" t="s">
        <v>90</v>
      </c>
      <c r="J16" t="str">
        <f t="shared" si="1"/>
        <v>18/01/2025</v>
      </c>
    </row>
    <row r="17" spans="1:10">
      <c r="A17" s="2" t="s">
        <v>90</v>
      </c>
      <c r="B17" s="2" t="s">
        <v>128</v>
      </c>
      <c r="C17" s="2" t="s">
        <v>19</v>
      </c>
      <c r="D17" s="2" t="s">
        <v>20</v>
      </c>
      <c r="E17" s="2">
        <v>4</v>
      </c>
      <c r="F17" s="2">
        <v>90133.86</v>
      </c>
      <c r="G17" s="2" t="s">
        <v>43</v>
      </c>
      <c r="I17" s="2" t="s">
        <v>90</v>
      </c>
      <c r="J17" t="str">
        <f t="shared" si="1"/>
        <v>18/01/2025</v>
      </c>
    </row>
    <row r="18" spans="1:10">
      <c r="A18" s="2" t="s">
        <v>122</v>
      </c>
      <c r="B18" s="2" t="s">
        <v>128</v>
      </c>
      <c r="C18" s="2" t="s">
        <v>26</v>
      </c>
      <c r="D18" s="2" t="s">
        <v>10</v>
      </c>
      <c r="E18" s="2">
        <v>5</v>
      </c>
      <c r="F18" s="2">
        <v>16952.41</v>
      </c>
      <c r="G18" s="2" t="s">
        <v>17</v>
      </c>
      <c r="I18" s="2" t="s">
        <v>122</v>
      </c>
      <c r="J18" t="str">
        <f t="shared" si="1"/>
        <v>19/01/2025</v>
      </c>
    </row>
    <row r="19" spans="1:10">
      <c r="A19" s="2" t="s">
        <v>33</v>
      </c>
      <c r="B19" s="2" t="s">
        <v>131</v>
      </c>
      <c r="C19" s="2" t="s">
        <v>34</v>
      </c>
      <c r="D19" s="2" t="s">
        <v>14</v>
      </c>
      <c r="E19" s="2">
        <v>10</v>
      </c>
      <c r="F19" s="2">
        <v>193020.41</v>
      </c>
      <c r="G19" s="2" t="s">
        <v>11</v>
      </c>
      <c r="I19" s="2" t="s">
        <v>33</v>
      </c>
      <c r="J19" t="str">
        <f t="shared" si="1"/>
        <v>23/01/2025</v>
      </c>
    </row>
    <row r="20" spans="1:10">
      <c r="A20" s="2" t="s">
        <v>33</v>
      </c>
      <c r="B20" s="2" t="s">
        <v>8</v>
      </c>
      <c r="C20" s="2" t="s">
        <v>36</v>
      </c>
      <c r="D20" s="2" t="s">
        <v>14</v>
      </c>
      <c r="E20" s="2">
        <v>0</v>
      </c>
      <c r="F20" s="2">
        <v>314132.18</v>
      </c>
      <c r="G20" s="2" t="s">
        <v>11</v>
      </c>
      <c r="I20" s="2" t="s">
        <v>33</v>
      </c>
      <c r="J20" t="str">
        <f t="shared" si="1"/>
        <v>23/01/2025</v>
      </c>
    </row>
    <row r="21" spans="1:10">
      <c r="A21" s="2" t="s">
        <v>33</v>
      </c>
      <c r="B21" s="2" t="s">
        <v>130</v>
      </c>
      <c r="C21" s="2" t="s">
        <v>19</v>
      </c>
      <c r="D21" s="2" t="s">
        <v>20</v>
      </c>
      <c r="E21" s="2">
        <v>7</v>
      </c>
      <c r="F21" s="2">
        <v>87243.92</v>
      </c>
      <c r="G21" s="2"/>
      <c r="I21" s="2" t="s">
        <v>33</v>
      </c>
      <c r="J21" t="str">
        <f t="shared" si="1"/>
        <v>23/01/2025</v>
      </c>
    </row>
    <row r="22" spans="1:10">
      <c r="A22" s="2" t="s">
        <v>37</v>
      </c>
      <c r="B22" s="2" t="s">
        <v>131</v>
      </c>
      <c r="C22" s="2" t="s">
        <v>9</v>
      </c>
      <c r="D22" s="2" t="s">
        <v>10</v>
      </c>
      <c r="E22" s="2">
        <v>1</v>
      </c>
      <c r="F22" s="2"/>
      <c r="G22" s="2" t="s">
        <v>23</v>
      </c>
      <c r="I22" s="2" t="s">
        <v>37</v>
      </c>
      <c r="J22" t="str">
        <f t="shared" si="1"/>
        <v>24/01/2025</v>
      </c>
    </row>
    <row r="23" spans="1:10">
      <c r="A23" s="2" t="s">
        <v>37</v>
      </c>
      <c r="B23" s="2" t="s">
        <v>40</v>
      </c>
      <c r="C23" s="2" t="s">
        <v>19</v>
      </c>
      <c r="D23" s="2" t="s">
        <v>20</v>
      </c>
      <c r="E23" s="2">
        <v>5</v>
      </c>
      <c r="F23" s="2">
        <v>79645.63</v>
      </c>
      <c r="G23" s="2" t="s">
        <v>11</v>
      </c>
      <c r="I23" s="2" t="s">
        <v>37</v>
      </c>
      <c r="J23" t="str">
        <f t="shared" si="1"/>
        <v>24/01/2025</v>
      </c>
    </row>
    <row r="24" spans="1:10">
      <c r="A24" s="2" t="s">
        <v>100</v>
      </c>
      <c r="B24" s="2" t="s">
        <v>130</v>
      </c>
      <c r="C24" s="2" t="s">
        <v>31</v>
      </c>
      <c r="D24" s="2" t="s">
        <v>20</v>
      </c>
      <c r="E24" s="2">
        <v>3</v>
      </c>
      <c r="F24" s="2">
        <v>39663.14</v>
      </c>
      <c r="G24" s="2" t="s">
        <v>17</v>
      </c>
      <c r="I24" s="2" t="s">
        <v>100</v>
      </c>
      <c r="J24" t="str">
        <f t="shared" si="1"/>
        <v>25/01/2025</v>
      </c>
    </row>
    <row r="25" spans="1:10">
      <c r="A25" s="2" t="s">
        <v>18</v>
      </c>
      <c r="B25" s="2" t="s">
        <v>129</v>
      </c>
      <c r="C25" s="2" t="s">
        <v>19</v>
      </c>
      <c r="D25" s="2" t="s">
        <v>20</v>
      </c>
      <c r="E25" s="2">
        <v>8</v>
      </c>
      <c r="F25" s="2">
        <v>76173.37</v>
      </c>
      <c r="G25" s="2" t="s">
        <v>21</v>
      </c>
      <c r="I25" s="2" t="s">
        <v>18</v>
      </c>
      <c r="J25" t="str">
        <f t="shared" si="1"/>
        <v>28/01/2025</v>
      </c>
    </row>
    <row r="26" spans="1:10">
      <c r="A26" s="2" t="s">
        <v>18</v>
      </c>
      <c r="B26" s="2" t="s">
        <v>40</v>
      </c>
      <c r="C26" s="2" t="s">
        <v>26</v>
      </c>
      <c r="D26" s="2" t="s">
        <v>10</v>
      </c>
      <c r="E26" s="2">
        <v>9</v>
      </c>
      <c r="F26" s="2"/>
      <c r="G26" s="2" t="s">
        <v>29</v>
      </c>
      <c r="I26" s="2" t="s">
        <v>18</v>
      </c>
      <c r="J26" t="str">
        <f t="shared" si="1"/>
        <v>28/01/2025</v>
      </c>
    </row>
    <row r="27" spans="1:10">
      <c r="A27" s="2" t="s">
        <v>18</v>
      </c>
      <c r="B27" s="2" t="s">
        <v>131</v>
      </c>
      <c r="C27" s="2" t="s">
        <v>36</v>
      </c>
      <c r="D27" s="2" t="s">
        <v>14</v>
      </c>
      <c r="E27" s="2">
        <v>5</v>
      </c>
      <c r="F27" s="2">
        <v>388950.08</v>
      </c>
      <c r="G27" s="2" t="s">
        <v>21</v>
      </c>
      <c r="I27" s="2" t="s">
        <v>18</v>
      </c>
      <c r="J27" t="str">
        <f t="shared" si="1"/>
        <v>28/01/2025</v>
      </c>
    </row>
    <row r="28" spans="1:10">
      <c r="A28" s="2" t="s">
        <v>96</v>
      </c>
      <c r="B28" s="2" t="s">
        <v>8</v>
      </c>
      <c r="C28" s="2" t="s">
        <v>36</v>
      </c>
      <c r="D28" s="2" t="s">
        <v>14</v>
      </c>
      <c r="E28" s="2">
        <v>5</v>
      </c>
      <c r="F28" s="2"/>
      <c r="G28" s="2" t="s">
        <v>23</v>
      </c>
      <c r="I28" s="2" t="s">
        <v>96</v>
      </c>
      <c r="J28" t="str">
        <f t="shared" si="1"/>
        <v>30/01/2025</v>
      </c>
    </row>
    <row r="29" spans="1:10">
      <c r="A29" s="2" t="s">
        <v>96</v>
      </c>
      <c r="B29" s="2" t="s">
        <v>28</v>
      </c>
      <c r="C29" s="2" t="s">
        <v>34</v>
      </c>
      <c r="D29" s="2" t="s">
        <v>14</v>
      </c>
      <c r="E29" s="2">
        <v>7</v>
      </c>
      <c r="F29" s="2">
        <v>179016.2</v>
      </c>
      <c r="G29" s="2"/>
      <c r="I29" s="2" t="s">
        <v>96</v>
      </c>
      <c r="J29" t="str">
        <f t="shared" si="1"/>
        <v>30/01/2025</v>
      </c>
    </row>
    <row r="30" spans="1:10">
      <c r="A30" s="2" t="s">
        <v>92</v>
      </c>
      <c r="B30" s="2" t="s">
        <v>127</v>
      </c>
      <c r="C30" s="2" t="s">
        <v>36</v>
      </c>
      <c r="D30" s="2" t="s">
        <v>14</v>
      </c>
      <c r="E30" s="2">
        <v>5</v>
      </c>
      <c r="F30" s="2">
        <v>383639.73</v>
      </c>
      <c r="G30" s="2" t="s">
        <v>17</v>
      </c>
      <c r="I30" s="2" t="s">
        <v>92</v>
      </c>
      <c r="J30" t="str">
        <f t="shared" si="1"/>
        <v>31/01/2025</v>
      </c>
    </row>
    <row r="31" spans="1:10">
      <c r="A31" s="2" t="s">
        <v>105</v>
      </c>
      <c r="B31" s="2" t="s">
        <v>40</v>
      </c>
      <c r="C31" s="2" t="s">
        <v>16</v>
      </c>
      <c r="D31" s="2" t="s">
        <v>10</v>
      </c>
      <c r="E31" s="2">
        <v>10</v>
      </c>
      <c r="F31" s="2">
        <v>11105.06</v>
      </c>
      <c r="G31" s="2" t="s">
        <v>17</v>
      </c>
      <c r="I31" s="2" t="s">
        <v>105</v>
      </c>
      <c r="J31" t="str">
        <f t="shared" si="1"/>
        <v>01/02/2025</v>
      </c>
    </row>
    <row r="32" spans="1:10">
      <c r="A32" s="2" t="s">
        <v>71</v>
      </c>
      <c r="B32" s="2" t="s">
        <v>128</v>
      </c>
      <c r="C32" s="2" t="s">
        <v>9</v>
      </c>
      <c r="D32" s="2" t="s">
        <v>10</v>
      </c>
      <c r="E32" s="2">
        <v>7</v>
      </c>
      <c r="F32" s="2">
        <v>8009.15</v>
      </c>
      <c r="G32" s="2" t="s">
        <v>21</v>
      </c>
      <c r="I32" s="2" t="s">
        <v>71</v>
      </c>
      <c r="J32" t="str">
        <f t="shared" si="1"/>
        <v>02/02/2025</v>
      </c>
    </row>
    <row r="33" spans="1:10">
      <c r="A33" s="2" t="s">
        <v>71</v>
      </c>
      <c r="B33" s="2" t="s">
        <v>28</v>
      </c>
      <c r="C33" s="2" t="s">
        <v>36</v>
      </c>
      <c r="D33" s="2" t="s">
        <v>14</v>
      </c>
      <c r="E33" s="2">
        <v>3</v>
      </c>
      <c r="F33" s="2">
        <v>321202.15999999997</v>
      </c>
      <c r="G33" s="2" t="s">
        <v>23</v>
      </c>
      <c r="I33" s="2" t="s">
        <v>71</v>
      </c>
      <c r="J33" t="str">
        <f t="shared" si="1"/>
        <v>02/02/2025</v>
      </c>
    </row>
    <row r="34" spans="1:10">
      <c r="A34" s="2" t="s">
        <v>66</v>
      </c>
      <c r="B34" s="2" t="s">
        <v>40</v>
      </c>
      <c r="C34" s="2" t="s">
        <v>26</v>
      </c>
      <c r="D34" s="2" t="s">
        <v>10</v>
      </c>
      <c r="E34" s="2">
        <v>2</v>
      </c>
      <c r="F34" s="2">
        <v>12963.47</v>
      </c>
      <c r="G34" s="2" t="s">
        <v>11</v>
      </c>
      <c r="I34" s="2" t="s">
        <v>66</v>
      </c>
      <c r="J34" t="str">
        <f t="shared" si="1"/>
        <v>03/02/2025</v>
      </c>
    </row>
    <row r="35" spans="1:10">
      <c r="A35" s="2" t="s">
        <v>106</v>
      </c>
      <c r="B35" s="2" t="s">
        <v>28</v>
      </c>
      <c r="C35" s="2" t="s">
        <v>26</v>
      </c>
      <c r="D35" s="2" t="s">
        <v>10</v>
      </c>
      <c r="E35" s="2">
        <v>10</v>
      </c>
      <c r="F35" s="2">
        <v>15291.86</v>
      </c>
      <c r="G35" s="2" t="s">
        <v>29</v>
      </c>
      <c r="I35" s="2" t="s">
        <v>106</v>
      </c>
      <c r="J35" t="str">
        <f t="shared" si="1"/>
        <v>04/02/2025</v>
      </c>
    </row>
    <row r="36" spans="1:10">
      <c r="A36" s="2" t="s">
        <v>106</v>
      </c>
      <c r="B36" s="2" t="s">
        <v>8</v>
      </c>
      <c r="C36" s="2" t="s">
        <v>27</v>
      </c>
      <c r="D36" s="2" t="s">
        <v>20</v>
      </c>
      <c r="E36" s="2">
        <v>3</v>
      </c>
      <c r="F36" s="2"/>
      <c r="G36" s="2" t="s">
        <v>29</v>
      </c>
      <c r="I36" s="2" t="s">
        <v>106</v>
      </c>
      <c r="J36" t="str">
        <f t="shared" si="1"/>
        <v>04/02/2025</v>
      </c>
    </row>
    <row r="37" spans="1:10">
      <c r="A37" s="2" t="s">
        <v>80</v>
      </c>
      <c r="B37" s="2" t="s">
        <v>28</v>
      </c>
      <c r="C37" s="2" t="s">
        <v>16</v>
      </c>
      <c r="D37" s="2" t="s">
        <v>10</v>
      </c>
      <c r="E37" s="2">
        <v>3</v>
      </c>
      <c r="F37" s="2">
        <v>12524.88</v>
      </c>
      <c r="G37" s="2" t="s">
        <v>11</v>
      </c>
      <c r="I37" s="2" t="s">
        <v>80</v>
      </c>
      <c r="J37" t="str">
        <f t="shared" si="1"/>
        <v>07/02/2025</v>
      </c>
    </row>
    <row r="38" spans="1:10">
      <c r="A38" s="2" t="s">
        <v>80</v>
      </c>
      <c r="B38" s="2" t="s">
        <v>131</v>
      </c>
      <c r="C38" s="2" t="s">
        <v>19</v>
      </c>
      <c r="D38" s="2" t="s">
        <v>20</v>
      </c>
      <c r="E38" s="2">
        <v>5</v>
      </c>
      <c r="F38" s="2">
        <v>85057.33</v>
      </c>
      <c r="G38" s="2" t="s">
        <v>23</v>
      </c>
      <c r="I38" s="2" t="s">
        <v>80</v>
      </c>
      <c r="J38" t="str">
        <f t="shared" si="1"/>
        <v>07/02/2025</v>
      </c>
    </row>
    <row r="39" spans="1:10">
      <c r="A39" s="2" t="s">
        <v>55</v>
      </c>
      <c r="B39" s="2" t="s">
        <v>8</v>
      </c>
      <c r="C39" s="2" t="s">
        <v>27</v>
      </c>
      <c r="D39" s="2" t="s">
        <v>20</v>
      </c>
      <c r="E39" s="2">
        <v>5</v>
      </c>
      <c r="F39" s="2">
        <v>73299.990000000005</v>
      </c>
      <c r="G39" s="2" t="s">
        <v>23</v>
      </c>
      <c r="I39" s="2" t="s">
        <v>55</v>
      </c>
      <c r="J39" t="str">
        <f t="shared" si="1"/>
        <v>09/02/2025</v>
      </c>
    </row>
    <row r="40" spans="1:10">
      <c r="A40" s="2" t="s">
        <v>55</v>
      </c>
      <c r="B40" s="2" t="s">
        <v>130</v>
      </c>
      <c r="C40" s="2" t="s">
        <v>9</v>
      </c>
      <c r="D40" s="2" t="s">
        <v>10</v>
      </c>
      <c r="E40" s="2">
        <v>9</v>
      </c>
      <c r="F40" s="2">
        <v>7040.92</v>
      </c>
      <c r="G40" s="2" t="s">
        <v>11</v>
      </c>
      <c r="I40" s="2" t="s">
        <v>55</v>
      </c>
      <c r="J40" t="str">
        <f t="shared" si="1"/>
        <v>09/02/2025</v>
      </c>
    </row>
    <row r="41" spans="1:10">
      <c r="A41" s="2" t="s">
        <v>55</v>
      </c>
      <c r="B41" s="2" t="s">
        <v>129</v>
      </c>
      <c r="C41" s="2" t="s">
        <v>26</v>
      </c>
      <c r="D41" s="2" t="s">
        <v>10</v>
      </c>
      <c r="E41" s="2">
        <v>6</v>
      </c>
      <c r="F41" s="2">
        <v>13062.14</v>
      </c>
      <c r="G41" s="2" t="s">
        <v>23</v>
      </c>
      <c r="I41" s="2" t="s">
        <v>55</v>
      </c>
      <c r="J41" t="str">
        <f t="shared" si="1"/>
        <v>09/02/2025</v>
      </c>
    </row>
    <row r="42" spans="1:10">
      <c r="A42" s="2" t="s">
        <v>95</v>
      </c>
      <c r="B42" s="2" t="s">
        <v>40</v>
      </c>
      <c r="C42" s="2" t="s">
        <v>19</v>
      </c>
      <c r="D42" s="2" t="s">
        <v>20</v>
      </c>
      <c r="E42" s="2">
        <v>2</v>
      </c>
      <c r="F42" s="2">
        <v>76356.73</v>
      </c>
      <c r="G42" s="2" t="s">
        <v>43</v>
      </c>
      <c r="I42" s="2" t="s">
        <v>95</v>
      </c>
      <c r="J42" t="str">
        <f t="shared" si="1"/>
        <v>10/02/2025</v>
      </c>
    </row>
    <row r="43" spans="1:10">
      <c r="A43" s="2" t="s">
        <v>95</v>
      </c>
      <c r="B43" s="2" t="s">
        <v>131</v>
      </c>
      <c r="C43" s="2" t="s">
        <v>26</v>
      </c>
      <c r="D43" s="2" t="s">
        <v>10</v>
      </c>
      <c r="E43" s="2">
        <v>1</v>
      </c>
      <c r="F43" s="2">
        <v>13482.82</v>
      </c>
      <c r="G43" s="2" t="s">
        <v>32</v>
      </c>
      <c r="I43" s="2" t="s">
        <v>95</v>
      </c>
      <c r="J43" t="str">
        <f t="shared" si="1"/>
        <v>10/02/2025</v>
      </c>
    </row>
    <row r="44" spans="1:10">
      <c r="A44" s="2" t="s">
        <v>59</v>
      </c>
      <c r="B44" s="2" t="s">
        <v>28</v>
      </c>
      <c r="C44" s="2" t="s">
        <v>13</v>
      </c>
      <c r="D44" s="2" t="s">
        <v>14</v>
      </c>
      <c r="E44" s="2">
        <v>8</v>
      </c>
      <c r="F44" s="2">
        <v>105878.62</v>
      </c>
      <c r="G44" s="2" t="s">
        <v>17</v>
      </c>
      <c r="I44" s="2" t="s">
        <v>59</v>
      </c>
      <c r="J44" t="str">
        <f t="shared" si="1"/>
        <v>11/02/2025</v>
      </c>
    </row>
    <row r="45" spans="1:10">
      <c r="A45" s="2" t="s">
        <v>59</v>
      </c>
      <c r="B45" s="2" t="s">
        <v>8</v>
      </c>
      <c r="C45" s="2" t="s">
        <v>16</v>
      </c>
      <c r="D45" s="2" t="s">
        <v>10</v>
      </c>
      <c r="E45" s="2">
        <v>8</v>
      </c>
      <c r="F45" s="2">
        <v>11955.67</v>
      </c>
      <c r="G45" s="2" t="s">
        <v>17</v>
      </c>
      <c r="I45" s="2" t="s">
        <v>59</v>
      </c>
      <c r="J45" t="str">
        <f t="shared" si="1"/>
        <v>11/02/2025</v>
      </c>
    </row>
    <row r="46" spans="1:10">
      <c r="A46" s="2" t="s">
        <v>53</v>
      </c>
      <c r="B46" s="2" t="s">
        <v>130</v>
      </c>
      <c r="C46" s="2" t="s">
        <v>27</v>
      </c>
      <c r="D46" s="2" t="s">
        <v>14</v>
      </c>
      <c r="E46" s="2">
        <v>7</v>
      </c>
      <c r="F46" s="2"/>
      <c r="G46" s="2" t="s">
        <v>11</v>
      </c>
      <c r="I46" s="2" t="s">
        <v>53</v>
      </c>
      <c r="J46" t="str">
        <f t="shared" si="1"/>
        <v>13/02/2025</v>
      </c>
    </row>
    <row r="47" spans="1:10">
      <c r="A47" s="2" t="s">
        <v>111</v>
      </c>
      <c r="B47" s="2" t="s">
        <v>127</v>
      </c>
      <c r="C47" s="2" t="s">
        <v>16</v>
      </c>
      <c r="D47" s="2" t="s">
        <v>10</v>
      </c>
      <c r="E47" s="2">
        <v>4</v>
      </c>
      <c r="F47" s="2">
        <v>11190.13</v>
      </c>
      <c r="G47" s="2" t="s">
        <v>32</v>
      </c>
      <c r="I47" s="2" t="s">
        <v>111</v>
      </c>
      <c r="J47" t="str">
        <f t="shared" si="1"/>
        <v>15/02/2025</v>
      </c>
    </row>
    <row r="48" spans="1:10">
      <c r="A48" s="2" t="s">
        <v>117</v>
      </c>
      <c r="B48" s="2" t="s">
        <v>131</v>
      </c>
      <c r="C48" s="2" t="s">
        <v>31</v>
      </c>
      <c r="D48" s="2" t="s">
        <v>20</v>
      </c>
      <c r="E48" s="2">
        <v>4</v>
      </c>
      <c r="F48" s="2">
        <v>49789.24</v>
      </c>
      <c r="G48" s="2"/>
      <c r="I48" s="2" t="s">
        <v>117</v>
      </c>
      <c r="J48" t="str">
        <f t="shared" si="1"/>
        <v>16/02/2025</v>
      </c>
    </row>
    <row r="49" spans="1:10">
      <c r="A49" s="2" t="s">
        <v>97</v>
      </c>
      <c r="B49" s="2" t="s">
        <v>129</v>
      </c>
      <c r="C49" s="2" t="s">
        <v>9</v>
      </c>
      <c r="D49" s="2" t="s">
        <v>10</v>
      </c>
      <c r="E49" s="2">
        <v>10</v>
      </c>
      <c r="F49" s="2">
        <v>7286.17</v>
      </c>
      <c r="G49" s="2"/>
      <c r="I49" s="2" t="s">
        <v>97</v>
      </c>
      <c r="J49" t="str">
        <f t="shared" si="1"/>
        <v>18/02/2025</v>
      </c>
    </row>
    <row r="50" spans="1:10">
      <c r="A50" s="2" t="s">
        <v>97</v>
      </c>
      <c r="B50" s="2" t="s">
        <v>40</v>
      </c>
      <c r="C50" s="2" t="s">
        <v>36</v>
      </c>
      <c r="D50" s="2" t="s">
        <v>14</v>
      </c>
      <c r="E50" s="2">
        <v>5</v>
      </c>
      <c r="F50" s="2">
        <v>316216.90999999997</v>
      </c>
      <c r="G50" s="2" t="s">
        <v>11</v>
      </c>
      <c r="I50" s="2" t="s">
        <v>97</v>
      </c>
      <c r="J50" t="str">
        <f t="shared" si="1"/>
        <v>18/02/2025</v>
      </c>
    </row>
    <row r="51" spans="1:10">
      <c r="A51" s="2" t="s">
        <v>63</v>
      </c>
      <c r="B51" s="2" t="s">
        <v>130</v>
      </c>
      <c r="C51" s="2" t="s">
        <v>31</v>
      </c>
      <c r="D51" s="2" t="s">
        <v>20</v>
      </c>
      <c r="E51" s="2">
        <v>6</v>
      </c>
      <c r="F51" s="2"/>
      <c r="G51" s="2" t="s">
        <v>23</v>
      </c>
      <c r="I51" s="2" t="s">
        <v>63</v>
      </c>
      <c r="J51" t="str">
        <f t="shared" si="1"/>
        <v>20/02/2025</v>
      </c>
    </row>
    <row r="52" spans="1:10">
      <c r="A52" s="2" t="s">
        <v>114</v>
      </c>
      <c r="B52" s="2" t="s">
        <v>129</v>
      </c>
      <c r="C52" s="2" t="s">
        <v>34</v>
      </c>
      <c r="D52" s="2" t="s">
        <v>14</v>
      </c>
      <c r="E52" s="2">
        <v>9</v>
      </c>
      <c r="F52" s="2"/>
      <c r="G52" s="2" t="s">
        <v>32</v>
      </c>
      <c r="I52" s="2" t="s">
        <v>114</v>
      </c>
      <c r="J52" t="str">
        <f t="shared" si="1"/>
        <v>22/02/2025</v>
      </c>
    </row>
    <row r="53" spans="1:10">
      <c r="A53" s="2" t="s">
        <v>91</v>
      </c>
      <c r="B53" s="2" t="s">
        <v>130</v>
      </c>
      <c r="C53" s="2" t="s">
        <v>31</v>
      </c>
      <c r="D53" s="2" t="s">
        <v>20</v>
      </c>
      <c r="E53" s="2">
        <v>10</v>
      </c>
      <c r="F53" s="2"/>
      <c r="G53" s="2" t="s">
        <v>17</v>
      </c>
      <c r="I53" s="2" t="s">
        <v>91</v>
      </c>
      <c r="J53" t="str">
        <f t="shared" si="1"/>
        <v>23/02/2025</v>
      </c>
    </row>
    <row r="54" spans="1:10">
      <c r="A54" s="2" t="s">
        <v>91</v>
      </c>
      <c r="B54" s="2" t="s">
        <v>28</v>
      </c>
      <c r="C54" s="2" t="s">
        <v>26</v>
      </c>
      <c r="D54" s="2" t="s">
        <v>10</v>
      </c>
      <c r="E54" s="2">
        <v>7</v>
      </c>
      <c r="F54" s="2">
        <v>13515.87</v>
      </c>
      <c r="G54" s="2"/>
      <c r="I54" s="2" t="s">
        <v>91</v>
      </c>
      <c r="J54" t="str">
        <f t="shared" si="1"/>
        <v>23/02/2025</v>
      </c>
    </row>
    <row r="55" spans="1:10">
      <c r="A55" s="2" t="s">
        <v>57</v>
      </c>
      <c r="B55" s="2" t="s">
        <v>127</v>
      </c>
      <c r="C55" s="2" t="s">
        <v>16</v>
      </c>
      <c r="D55" s="2" t="s">
        <v>10</v>
      </c>
      <c r="E55" s="2">
        <v>4</v>
      </c>
      <c r="F55" s="2">
        <v>13057.78</v>
      </c>
      <c r="G55" s="2" t="s">
        <v>11</v>
      </c>
      <c r="I55" s="2" t="s">
        <v>57</v>
      </c>
      <c r="J55" t="str">
        <f t="shared" si="1"/>
        <v>24/02/2025</v>
      </c>
    </row>
    <row r="56" spans="1:10">
      <c r="A56" s="2" t="s">
        <v>57</v>
      </c>
      <c r="B56" s="2" t="s">
        <v>128</v>
      </c>
      <c r="C56" s="2" t="s">
        <v>26</v>
      </c>
      <c r="D56" s="2" t="s">
        <v>10</v>
      </c>
      <c r="E56" s="2">
        <v>10</v>
      </c>
      <c r="F56" s="2">
        <v>15980.14</v>
      </c>
      <c r="G56" s="2" t="s">
        <v>23</v>
      </c>
      <c r="I56" s="2" t="s">
        <v>57</v>
      </c>
      <c r="J56" t="str">
        <f t="shared" si="1"/>
        <v>24/02/2025</v>
      </c>
    </row>
    <row r="57" spans="1:10">
      <c r="A57" s="2" t="s">
        <v>57</v>
      </c>
      <c r="B57" s="2" t="s">
        <v>127</v>
      </c>
      <c r="C57" s="2" t="s">
        <v>26</v>
      </c>
      <c r="D57" s="2" t="s">
        <v>10</v>
      </c>
      <c r="E57" s="2">
        <v>7</v>
      </c>
      <c r="F57" s="2">
        <v>16026.02</v>
      </c>
      <c r="G57" s="2" t="s">
        <v>23</v>
      </c>
      <c r="I57" s="2" t="s">
        <v>57</v>
      </c>
      <c r="J57" t="str">
        <f t="shared" si="1"/>
        <v>24/02/2025</v>
      </c>
    </row>
    <row r="58" spans="1:10">
      <c r="A58" s="2" t="s">
        <v>124</v>
      </c>
      <c r="B58" s="2" t="s">
        <v>127</v>
      </c>
      <c r="C58" s="2" t="s">
        <v>19</v>
      </c>
      <c r="D58" s="2" t="s">
        <v>20</v>
      </c>
      <c r="E58" s="2">
        <v>7</v>
      </c>
      <c r="F58" s="2">
        <v>80872.61</v>
      </c>
      <c r="G58" s="2"/>
      <c r="I58" s="2" t="s">
        <v>124</v>
      </c>
      <c r="J58" t="str">
        <f t="shared" si="1"/>
        <v>25/02/2025</v>
      </c>
    </row>
    <row r="59" spans="1:10">
      <c r="A59" s="2" t="s">
        <v>87</v>
      </c>
      <c r="B59" s="2" t="s">
        <v>127</v>
      </c>
      <c r="C59" s="2" t="s">
        <v>13</v>
      </c>
      <c r="D59" s="2" t="s">
        <v>14</v>
      </c>
      <c r="E59" s="2">
        <v>2</v>
      </c>
      <c r="F59" s="2">
        <v>106607.48</v>
      </c>
      <c r="G59" s="2" t="s">
        <v>43</v>
      </c>
      <c r="I59" s="2" t="s">
        <v>87</v>
      </c>
      <c r="J59" t="str">
        <f t="shared" si="1"/>
        <v>26/02/2025</v>
      </c>
    </row>
    <row r="60" spans="1:10">
      <c r="A60" s="2" t="s">
        <v>67</v>
      </c>
      <c r="B60" s="2" t="s">
        <v>130</v>
      </c>
      <c r="C60" s="2" t="s">
        <v>26</v>
      </c>
      <c r="D60" s="2" t="s">
        <v>10</v>
      </c>
      <c r="E60" s="2">
        <v>1</v>
      </c>
      <c r="F60" s="2">
        <v>15976.72</v>
      </c>
      <c r="G60" s="2" t="s">
        <v>43</v>
      </c>
      <c r="I60" s="2" t="s">
        <v>67</v>
      </c>
      <c r="J60" t="str">
        <f t="shared" si="1"/>
        <v>27/02/2025</v>
      </c>
    </row>
    <row r="61" spans="1:10">
      <c r="A61" s="2" t="s">
        <v>125</v>
      </c>
      <c r="B61" s="2" t="s">
        <v>40</v>
      </c>
      <c r="C61" s="2" t="s">
        <v>13</v>
      </c>
      <c r="D61" s="2" t="s">
        <v>14</v>
      </c>
      <c r="E61" s="2">
        <v>6</v>
      </c>
      <c r="F61" s="2"/>
      <c r="G61" s="2" t="s">
        <v>23</v>
      </c>
      <c r="I61" s="2" t="s">
        <v>125</v>
      </c>
      <c r="J61" t="str">
        <f t="shared" si="1"/>
        <v>28/02/2025</v>
      </c>
    </row>
    <row r="62" spans="1:10">
      <c r="A62" s="2" t="s">
        <v>102</v>
      </c>
      <c r="B62" s="2" t="s">
        <v>129</v>
      </c>
      <c r="C62" s="2" t="s">
        <v>16</v>
      </c>
      <c r="D62" s="2" t="s">
        <v>10</v>
      </c>
      <c r="E62" s="2">
        <v>4</v>
      </c>
      <c r="F62" s="2">
        <v>11884.61</v>
      </c>
      <c r="G62" s="2" t="s">
        <v>21</v>
      </c>
      <c r="I62" s="2" t="s">
        <v>102</v>
      </c>
      <c r="J62" t="str">
        <f t="shared" si="1"/>
        <v>01/03/2025</v>
      </c>
    </row>
    <row r="63" spans="1:10">
      <c r="A63" s="2" t="s">
        <v>38</v>
      </c>
      <c r="B63" s="2" t="s">
        <v>127</v>
      </c>
      <c r="C63" s="2" t="s">
        <v>26</v>
      </c>
      <c r="D63" s="2" t="s">
        <v>10</v>
      </c>
      <c r="E63" s="2">
        <v>2</v>
      </c>
      <c r="F63" s="2">
        <v>14934.23</v>
      </c>
      <c r="G63" s="2" t="s">
        <v>21</v>
      </c>
      <c r="I63" s="2" t="s">
        <v>38</v>
      </c>
      <c r="J63" t="str">
        <f t="shared" si="1"/>
        <v>03/03/2025</v>
      </c>
    </row>
    <row r="64" spans="1:10">
      <c r="A64" s="2" t="s">
        <v>68</v>
      </c>
      <c r="B64" s="2" t="s">
        <v>28</v>
      </c>
      <c r="C64" s="2" t="s">
        <v>26</v>
      </c>
      <c r="D64" s="2" t="s">
        <v>10</v>
      </c>
      <c r="E64" s="2">
        <v>3</v>
      </c>
      <c r="F64" s="2">
        <v>15792.03</v>
      </c>
      <c r="G64" s="2" t="s">
        <v>43</v>
      </c>
      <c r="I64" s="2" t="s">
        <v>68</v>
      </c>
      <c r="J64" t="str">
        <f t="shared" si="1"/>
        <v>04/03/2025</v>
      </c>
    </row>
    <row r="65" spans="1:10">
      <c r="A65" s="2" t="s">
        <v>68</v>
      </c>
      <c r="B65" s="2" t="s">
        <v>129</v>
      </c>
      <c r="C65" s="2" t="s">
        <v>36</v>
      </c>
      <c r="D65" s="2" t="s">
        <v>14</v>
      </c>
      <c r="E65" s="2">
        <v>0</v>
      </c>
      <c r="F65" s="2">
        <v>383679.59</v>
      </c>
      <c r="G65" s="2" t="s">
        <v>23</v>
      </c>
      <c r="I65" s="2" t="s">
        <v>68</v>
      </c>
      <c r="J65" t="str">
        <f t="shared" si="1"/>
        <v>04/03/2025</v>
      </c>
    </row>
    <row r="66" spans="1:10">
      <c r="A66" s="2" t="s">
        <v>68</v>
      </c>
      <c r="B66" s="2" t="s">
        <v>8</v>
      </c>
      <c r="C66" s="2" t="s">
        <v>36</v>
      </c>
      <c r="D66" s="2" t="s">
        <v>14</v>
      </c>
      <c r="E66" s="2">
        <v>6</v>
      </c>
      <c r="F66" s="2">
        <v>339552.57</v>
      </c>
      <c r="G66" s="2" t="s">
        <v>32</v>
      </c>
      <c r="I66" s="2" t="s">
        <v>68</v>
      </c>
      <c r="J66" t="str">
        <f t="shared" si="1"/>
        <v>04/03/2025</v>
      </c>
    </row>
    <row r="67" spans="1:10">
      <c r="A67" s="2" t="s">
        <v>98</v>
      </c>
      <c r="B67" s="2" t="s">
        <v>131</v>
      </c>
      <c r="C67" s="2" t="s">
        <v>26</v>
      </c>
      <c r="D67" s="2" t="s">
        <v>10</v>
      </c>
      <c r="E67" s="2">
        <v>1</v>
      </c>
      <c r="F67" s="2">
        <v>15886.27</v>
      </c>
      <c r="G67" s="2" t="s">
        <v>23</v>
      </c>
      <c r="I67" s="2" t="s">
        <v>98</v>
      </c>
      <c r="J67" t="str">
        <f t="shared" si="1"/>
        <v>05/03/2025</v>
      </c>
    </row>
    <row r="68" spans="1:10">
      <c r="A68" s="2" t="s">
        <v>98</v>
      </c>
      <c r="B68" s="2" t="s">
        <v>40</v>
      </c>
      <c r="C68" s="2" t="s">
        <v>34</v>
      </c>
      <c r="D68" s="2" t="s">
        <v>14</v>
      </c>
      <c r="E68" s="2">
        <v>8</v>
      </c>
      <c r="F68" s="2"/>
      <c r="G68" s="2" t="s">
        <v>32</v>
      </c>
      <c r="I68" s="2" t="s">
        <v>98</v>
      </c>
      <c r="J68" t="str">
        <f t="shared" si="1"/>
        <v>05/03/2025</v>
      </c>
    </row>
    <row r="69" spans="1:10">
      <c r="A69" s="2" t="s">
        <v>35</v>
      </c>
      <c r="B69" s="2" t="s">
        <v>130</v>
      </c>
      <c r="C69" s="2" t="s">
        <v>36</v>
      </c>
      <c r="D69" s="2" t="s">
        <v>14</v>
      </c>
      <c r="E69" s="2">
        <v>10</v>
      </c>
      <c r="F69" s="2"/>
      <c r="G69" s="2" t="s">
        <v>29</v>
      </c>
      <c r="I69" s="2" t="s">
        <v>35</v>
      </c>
      <c r="J69" t="str">
        <f t="shared" si="1"/>
        <v>08/03/2025</v>
      </c>
    </row>
    <row r="70" spans="1:10">
      <c r="A70" s="2" t="s">
        <v>112</v>
      </c>
      <c r="B70" s="2" t="s">
        <v>128</v>
      </c>
      <c r="C70" s="2" t="s">
        <v>26</v>
      </c>
      <c r="D70" s="2" t="s">
        <v>10</v>
      </c>
      <c r="E70" s="2">
        <v>7</v>
      </c>
      <c r="F70" s="2">
        <v>17221.41</v>
      </c>
      <c r="G70" s="2" t="s">
        <v>29</v>
      </c>
      <c r="I70" s="2" t="s">
        <v>112</v>
      </c>
      <c r="J70" t="str">
        <f t="shared" si="1"/>
        <v>09/03/2025</v>
      </c>
    </row>
    <row r="71" spans="1:10">
      <c r="A71" s="2" t="s">
        <v>112</v>
      </c>
      <c r="B71" s="2" t="s">
        <v>40</v>
      </c>
      <c r="C71" s="2" t="s">
        <v>36</v>
      </c>
      <c r="D71" s="2" t="s">
        <v>14</v>
      </c>
      <c r="E71" s="2">
        <v>7</v>
      </c>
      <c r="F71" s="2">
        <v>335230.39</v>
      </c>
      <c r="G71" s="2" t="s">
        <v>43</v>
      </c>
      <c r="I71" s="2" t="s">
        <v>112</v>
      </c>
      <c r="J71" t="str">
        <f t="shared" si="1"/>
        <v>09/03/2025</v>
      </c>
    </row>
    <row r="72" spans="1:10">
      <c r="A72" s="2" t="s">
        <v>48</v>
      </c>
      <c r="B72" s="2" t="s">
        <v>131</v>
      </c>
      <c r="C72" s="2" t="s">
        <v>9</v>
      </c>
      <c r="D72" s="2" t="s">
        <v>10</v>
      </c>
      <c r="E72" s="2">
        <v>9</v>
      </c>
      <c r="F72" s="2"/>
      <c r="G72" s="2"/>
      <c r="I72" s="2" t="s">
        <v>48</v>
      </c>
      <c r="J72" t="str">
        <f t="shared" si="1"/>
        <v>11/03/2025</v>
      </c>
    </row>
    <row r="73" spans="1:10">
      <c r="A73" s="2" t="s">
        <v>70</v>
      </c>
      <c r="B73" s="2" t="s">
        <v>130</v>
      </c>
      <c r="C73" s="2" t="s">
        <v>36</v>
      </c>
      <c r="D73" s="2" t="s">
        <v>14</v>
      </c>
      <c r="E73" s="2">
        <v>5</v>
      </c>
      <c r="F73" s="2">
        <v>374619.09</v>
      </c>
      <c r="G73" s="2"/>
      <c r="I73" s="2" t="s">
        <v>70</v>
      </c>
      <c r="J73" t="str">
        <f t="shared" si="1"/>
        <v>12/03/2025</v>
      </c>
    </row>
    <row r="74" spans="1:10">
      <c r="A74" s="2" t="s">
        <v>70</v>
      </c>
      <c r="B74" s="2" t="s">
        <v>8</v>
      </c>
      <c r="C74" s="2" t="s">
        <v>36</v>
      </c>
      <c r="D74" s="2" t="s">
        <v>14</v>
      </c>
      <c r="E74" s="2">
        <v>1</v>
      </c>
      <c r="F74" s="2">
        <v>322447.65000000002</v>
      </c>
      <c r="G74" s="2" t="s">
        <v>17</v>
      </c>
      <c r="I74" s="2" t="s">
        <v>70</v>
      </c>
      <c r="J74" t="str">
        <f t="shared" si="1"/>
        <v>12/03/2025</v>
      </c>
    </row>
    <row r="75" spans="1:10">
      <c r="A75" s="2" t="s">
        <v>84</v>
      </c>
      <c r="B75" s="2" t="s">
        <v>131</v>
      </c>
      <c r="C75" s="2" t="s">
        <v>9</v>
      </c>
      <c r="D75" s="2" t="s">
        <v>10</v>
      </c>
      <c r="E75" s="2">
        <v>6</v>
      </c>
      <c r="F75" s="2">
        <v>9199.8700000000008</v>
      </c>
      <c r="G75" s="2" t="s">
        <v>21</v>
      </c>
      <c r="I75" s="2" t="s">
        <v>84</v>
      </c>
      <c r="J75" t="str">
        <f t="shared" si="1"/>
        <v>13/03/2025</v>
      </c>
    </row>
    <row r="76" spans="1:10">
      <c r="A76" s="2" t="s">
        <v>121</v>
      </c>
      <c r="B76" s="2" t="s">
        <v>131</v>
      </c>
      <c r="C76" s="2" t="s">
        <v>13</v>
      </c>
      <c r="D76" s="2" t="s">
        <v>14</v>
      </c>
      <c r="E76" s="2">
        <v>5</v>
      </c>
      <c r="F76" s="2"/>
      <c r="G76" s="2" t="s">
        <v>17</v>
      </c>
      <c r="I76" s="2" t="s">
        <v>121</v>
      </c>
      <c r="J76" t="str">
        <f t="shared" si="1"/>
        <v>14/03/2025</v>
      </c>
    </row>
    <row r="77" spans="1:10">
      <c r="A77" s="2" t="s">
        <v>51</v>
      </c>
      <c r="B77" s="2" t="s">
        <v>28</v>
      </c>
      <c r="C77" s="2" t="s">
        <v>36</v>
      </c>
      <c r="D77" s="2" t="s">
        <v>14</v>
      </c>
      <c r="E77" s="2">
        <v>9</v>
      </c>
      <c r="F77" s="2">
        <v>303650.28999999998</v>
      </c>
      <c r="G77" s="2" t="s">
        <v>11</v>
      </c>
      <c r="I77" s="2" t="s">
        <v>51</v>
      </c>
      <c r="J77" t="str">
        <f t="shared" ref="J77:J140" si="2">TEXT(I77,"dd/mm/yyyy")</f>
        <v>15/03/2025</v>
      </c>
    </row>
    <row r="78" spans="1:10">
      <c r="A78" s="2" t="s">
        <v>51</v>
      </c>
      <c r="B78" s="2" t="s">
        <v>131</v>
      </c>
      <c r="C78" s="2" t="s">
        <v>26</v>
      </c>
      <c r="D78" s="2" t="s">
        <v>10</v>
      </c>
      <c r="E78" s="2">
        <v>3</v>
      </c>
      <c r="F78" s="2">
        <v>15469.86</v>
      </c>
      <c r="G78" s="2" t="s">
        <v>17</v>
      </c>
      <c r="I78" s="2" t="s">
        <v>51</v>
      </c>
      <c r="J78" t="str">
        <f t="shared" si="2"/>
        <v>15/03/2025</v>
      </c>
    </row>
    <row r="79" spans="1:10">
      <c r="A79" s="2" t="s">
        <v>94</v>
      </c>
      <c r="B79" s="2" t="s">
        <v>28</v>
      </c>
      <c r="C79" s="2" t="s">
        <v>16</v>
      </c>
      <c r="D79" s="2" t="s">
        <v>10</v>
      </c>
      <c r="E79" s="2">
        <v>8</v>
      </c>
      <c r="F79" s="2"/>
      <c r="G79" s="2" t="s">
        <v>23</v>
      </c>
      <c r="I79" s="2" t="s">
        <v>94</v>
      </c>
      <c r="J79" t="str">
        <f t="shared" si="2"/>
        <v>16/03/2025</v>
      </c>
    </row>
    <row r="80" spans="1:10">
      <c r="A80" s="2" t="s">
        <v>64</v>
      </c>
      <c r="B80" s="2" t="s">
        <v>8</v>
      </c>
      <c r="C80" s="2" t="s">
        <v>9</v>
      </c>
      <c r="D80" s="2" t="s">
        <v>10</v>
      </c>
      <c r="E80" s="2">
        <v>6</v>
      </c>
      <c r="F80" s="2">
        <v>8809.18</v>
      </c>
      <c r="G80" s="2" t="s">
        <v>32</v>
      </c>
      <c r="I80" s="2" t="s">
        <v>64</v>
      </c>
      <c r="J80" t="str">
        <f t="shared" si="2"/>
        <v>18/03/2025</v>
      </c>
    </row>
    <row r="81" spans="1:10">
      <c r="A81" s="2" t="s">
        <v>64</v>
      </c>
      <c r="B81" s="2" t="s">
        <v>8</v>
      </c>
      <c r="C81" s="2" t="s">
        <v>26</v>
      </c>
      <c r="D81" s="2" t="s">
        <v>10</v>
      </c>
      <c r="E81" s="2">
        <v>7</v>
      </c>
      <c r="F81" s="2">
        <v>14907.33</v>
      </c>
      <c r="G81" s="2" t="s">
        <v>21</v>
      </c>
      <c r="I81" s="2" t="s">
        <v>64</v>
      </c>
      <c r="J81" t="str">
        <f t="shared" si="2"/>
        <v>18/03/2025</v>
      </c>
    </row>
    <row r="82" spans="1:10">
      <c r="A82" s="2" t="s">
        <v>79</v>
      </c>
      <c r="B82" s="2" t="s">
        <v>40</v>
      </c>
      <c r="C82" s="2" t="s">
        <v>31</v>
      </c>
      <c r="D82" s="2" t="s">
        <v>20</v>
      </c>
      <c r="E82" s="2">
        <v>4</v>
      </c>
      <c r="F82" s="2">
        <v>49113.74</v>
      </c>
      <c r="G82" s="2"/>
      <c r="I82" s="2" t="s">
        <v>79</v>
      </c>
      <c r="J82" t="str">
        <f t="shared" si="2"/>
        <v>20/03/2025</v>
      </c>
    </row>
    <row r="83" spans="1:10">
      <c r="A83" s="2" t="s">
        <v>79</v>
      </c>
      <c r="B83" s="2" t="s">
        <v>28</v>
      </c>
      <c r="C83" s="2" t="s">
        <v>19</v>
      </c>
      <c r="D83" s="2" t="s">
        <v>20</v>
      </c>
      <c r="E83" s="2">
        <v>10</v>
      </c>
      <c r="F83" s="2">
        <v>85269.65</v>
      </c>
      <c r="G83" s="2" t="s">
        <v>11</v>
      </c>
      <c r="I83" s="2" t="s">
        <v>79</v>
      </c>
      <c r="J83" t="str">
        <f t="shared" si="2"/>
        <v>20/03/2025</v>
      </c>
    </row>
    <row r="84" spans="1:10">
      <c r="A84" s="2" t="s">
        <v>108</v>
      </c>
      <c r="B84" s="2" t="s">
        <v>28</v>
      </c>
      <c r="C84" s="2" t="s">
        <v>36</v>
      </c>
      <c r="D84" s="2" t="s">
        <v>14</v>
      </c>
      <c r="E84" s="2">
        <v>6</v>
      </c>
      <c r="F84" s="2">
        <v>320845.82</v>
      </c>
      <c r="G84" s="2" t="s">
        <v>43</v>
      </c>
      <c r="I84" s="2" t="s">
        <v>108</v>
      </c>
      <c r="J84" t="str">
        <f t="shared" si="2"/>
        <v>23/03/2025</v>
      </c>
    </row>
    <row r="85" spans="1:10">
      <c r="A85" s="2" t="s">
        <v>108</v>
      </c>
      <c r="B85" s="2" t="s">
        <v>130</v>
      </c>
      <c r="C85" s="2" t="s">
        <v>34</v>
      </c>
      <c r="D85" s="2" t="s">
        <v>14</v>
      </c>
      <c r="E85" s="2">
        <v>5</v>
      </c>
      <c r="F85" s="2"/>
      <c r="G85" s="2" t="s">
        <v>29</v>
      </c>
      <c r="I85" s="2" t="s">
        <v>108</v>
      </c>
      <c r="J85" t="str">
        <f t="shared" si="2"/>
        <v>23/03/2025</v>
      </c>
    </row>
    <row r="86" spans="1:10">
      <c r="A86" s="2" t="s">
        <v>108</v>
      </c>
      <c r="B86" s="2" t="s">
        <v>131</v>
      </c>
      <c r="C86" s="2"/>
      <c r="D86" s="2" t="s">
        <v>20</v>
      </c>
      <c r="E86" s="2">
        <v>6</v>
      </c>
      <c r="F86" s="2">
        <v>42407.83</v>
      </c>
      <c r="G86" s="2"/>
      <c r="I86" s="2" t="s">
        <v>108</v>
      </c>
      <c r="J86" t="str">
        <f t="shared" si="2"/>
        <v>23/03/2025</v>
      </c>
    </row>
    <row r="87" spans="1:10">
      <c r="A87" s="2" t="s">
        <v>41</v>
      </c>
      <c r="B87" s="2" t="s">
        <v>129</v>
      </c>
      <c r="C87" s="2" t="s">
        <v>34</v>
      </c>
      <c r="D87" s="2" t="s">
        <v>14</v>
      </c>
      <c r="E87" s="2">
        <v>1</v>
      </c>
      <c r="F87" s="2"/>
      <c r="G87" s="2" t="s">
        <v>11</v>
      </c>
      <c r="I87" s="2" t="s">
        <v>41</v>
      </c>
      <c r="J87" t="str">
        <f t="shared" si="2"/>
        <v>24/03/2025</v>
      </c>
    </row>
    <row r="88" spans="1:10">
      <c r="A88" s="2" t="s">
        <v>41</v>
      </c>
      <c r="B88" s="2" t="s">
        <v>40</v>
      </c>
      <c r="C88" s="2" t="s">
        <v>9</v>
      </c>
      <c r="D88" s="2" t="s">
        <v>10</v>
      </c>
      <c r="E88" s="2">
        <v>1</v>
      </c>
      <c r="F88" s="2">
        <v>9102.31</v>
      </c>
      <c r="G88" s="2" t="s">
        <v>17</v>
      </c>
      <c r="I88" s="2" t="s">
        <v>41</v>
      </c>
      <c r="J88" t="str">
        <f t="shared" si="2"/>
        <v>24/03/2025</v>
      </c>
    </row>
    <row r="89" spans="1:10">
      <c r="A89" s="2" t="s">
        <v>109</v>
      </c>
      <c r="B89" s="2" t="s">
        <v>8</v>
      </c>
      <c r="C89" s="2"/>
      <c r="D89" s="2" t="s">
        <v>10</v>
      </c>
      <c r="E89" s="2">
        <v>3</v>
      </c>
      <c r="F89" s="2"/>
      <c r="G89" s="2"/>
      <c r="I89" s="2" t="s">
        <v>109</v>
      </c>
      <c r="J89" t="str">
        <f t="shared" si="2"/>
        <v>25/03/2025</v>
      </c>
    </row>
    <row r="90" spans="1:10">
      <c r="A90" s="2" t="s">
        <v>77</v>
      </c>
      <c r="B90" s="2" t="s">
        <v>8</v>
      </c>
      <c r="C90" s="2" t="s">
        <v>16</v>
      </c>
      <c r="D90" s="2" t="s">
        <v>10</v>
      </c>
      <c r="E90" s="2">
        <v>4</v>
      </c>
      <c r="F90" s="2">
        <v>11086.19</v>
      </c>
      <c r="G90" s="2" t="s">
        <v>21</v>
      </c>
      <c r="I90" s="2" t="s">
        <v>77</v>
      </c>
      <c r="J90" t="str">
        <f t="shared" si="2"/>
        <v>27/03/2025</v>
      </c>
    </row>
    <row r="91" spans="1:10">
      <c r="A91" s="2" t="s">
        <v>56</v>
      </c>
      <c r="B91" s="2" t="s">
        <v>129</v>
      </c>
      <c r="C91" s="2" t="s">
        <v>36</v>
      </c>
      <c r="D91" s="2" t="s">
        <v>14</v>
      </c>
      <c r="E91" s="2">
        <v>3</v>
      </c>
      <c r="F91" s="2">
        <v>343709.26</v>
      </c>
      <c r="G91" s="2" t="s">
        <v>29</v>
      </c>
      <c r="I91" s="2" t="s">
        <v>56</v>
      </c>
      <c r="J91" t="str">
        <f t="shared" si="2"/>
        <v>29/03/2025</v>
      </c>
    </row>
    <row r="92" spans="1:10">
      <c r="A92" s="2" t="s">
        <v>30</v>
      </c>
      <c r="B92" s="2" t="s">
        <v>128</v>
      </c>
      <c r="C92" s="2" t="s">
        <v>31</v>
      </c>
      <c r="D92" s="2" t="s">
        <v>20</v>
      </c>
      <c r="E92" s="2">
        <v>4</v>
      </c>
      <c r="F92" s="2">
        <v>49205.08</v>
      </c>
      <c r="G92" s="2" t="s">
        <v>32</v>
      </c>
      <c r="I92" s="2" t="s">
        <v>30</v>
      </c>
      <c r="J92" t="str">
        <f t="shared" si="2"/>
        <v>30/03/2025</v>
      </c>
    </row>
    <row r="93" spans="1:10">
      <c r="A93" s="2" t="s">
        <v>83</v>
      </c>
      <c r="B93" s="2" t="s">
        <v>128</v>
      </c>
      <c r="C93" s="2" t="s">
        <v>13</v>
      </c>
      <c r="D93" s="2" t="s">
        <v>14</v>
      </c>
      <c r="E93" s="2">
        <v>4</v>
      </c>
      <c r="F93" s="2">
        <v>102358.45</v>
      </c>
      <c r="G93" s="2" t="s">
        <v>43</v>
      </c>
      <c r="I93" s="2" t="s">
        <v>83</v>
      </c>
      <c r="J93" t="str">
        <f t="shared" si="2"/>
        <v>01/04/2025</v>
      </c>
    </row>
    <row r="94" spans="1:10">
      <c r="A94" s="2" t="s">
        <v>83</v>
      </c>
      <c r="B94" s="2" t="s">
        <v>129</v>
      </c>
      <c r="C94" s="2" t="s">
        <v>19</v>
      </c>
      <c r="D94" s="2" t="s">
        <v>20</v>
      </c>
      <c r="E94" s="2">
        <v>3</v>
      </c>
      <c r="F94" s="2">
        <v>89308.63</v>
      </c>
      <c r="G94" s="2" t="s">
        <v>21</v>
      </c>
      <c r="I94" s="2" t="s">
        <v>83</v>
      </c>
      <c r="J94" t="str">
        <f t="shared" si="2"/>
        <v>01/04/2025</v>
      </c>
    </row>
    <row r="95" spans="1:10">
      <c r="A95" s="2" t="s">
        <v>22</v>
      </c>
      <c r="B95" s="2" t="s">
        <v>130</v>
      </c>
      <c r="C95" s="2" t="s">
        <v>19</v>
      </c>
      <c r="D95" s="2" t="s">
        <v>20</v>
      </c>
      <c r="E95" s="2">
        <v>5</v>
      </c>
      <c r="F95" s="2">
        <v>77011.75</v>
      </c>
      <c r="G95" s="2" t="s">
        <v>23</v>
      </c>
      <c r="I95" s="2" t="s">
        <v>22</v>
      </c>
      <c r="J95" t="str">
        <f t="shared" si="2"/>
        <v>03/04/2025</v>
      </c>
    </row>
    <row r="96" spans="1:10">
      <c r="A96" s="2" t="s">
        <v>22</v>
      </c>
      <c r="B96" s="2" t="s">
        <v>28</v>
      </c>
      <c r="C96" s="2" t="s">
        <v>26</v>
      </c>
      <c r="D96" s="2" t="s">
        <v>10</v>
      </c>
      <c r="E96" s="2">
        <v>3</v>
      </c>
      <c r="F96" s="2">
        <v>14627.54</v>
      </c>
      <c r="G96" s="2" t="s">
        <v>21</v>
      </c>
      <c r="I96" s="2" t="s">
        <v>22</v>
      </c>
      <c r="J96" t="str">
        <f t="shared" si="2"/>
        <v>03/04/2025</v>
      </c>
    </row>
    <row r="97" spans="1:10">
      <c r="A97" s="2" t="s">
        <v>22</v>
      </c>
      <c r="B97" s="2" t="s">
        <v>129</v>
      </c>
      <c r="C97" s="2" t="s">
        <v>13</v>
      </c>
      <c r="D97" s="2" t="s">
        <v>14</v>
      </c>
      <c r="E97" s="2">
        <v>9</v>
      </c>
      <c r="F97" s="2">
        <v>81867.19</v>
      </c>
      <c r="G97" s="2" t="s">
        <v>23</v>
      </c>
      <c r="I97" s="2" t="s">
        <v>22</v>
      </c>
      <c r="J97" t="str">
        <f t="shared" si="2"/>
        <v>03/04/2025</v>
      </c>
    </row>
    <row r="98" spans="1:10">
      <c r="A98" s="2" t="s">
        <v>22</v>
      </c>
      <c r="B98" s="2" t="s">
        <v>129</v>
      </c>
      <c r="C98" s="2" t="s">
        <v>26</v>
      </c>
      <c r="D98" s="2" t="s">
        <v>10</v>
      </c>
      <c r="E98" s="2">
        <v>-1</v>
      </c>
      <c r="F98" s="2">
        <v>15069.49</v>
      </c>
      <c r="G98" s="2" t="s">
        <v>21</v>
      </c>
      <c r="I98" s="2" t="s">
        <v>22</v>
      </c>
      <c r="J98" t="str">
        <f t="shared" si="2"/>
        <v>03/04/2025</v>
      </c>
    </row>
    <row r="99" spans="1:10">
      <c r="A99" s="2" t="s">
        <v>22</v>
      </c>
      <c r="B99" s="2" t="s">
        <v>40</v>
      </c>
      <c r="C99" s="2" t="s">
        <v>16</v>
      </c>
      <c r="D99" s="2" t="s">
        <v>10</v>
      </c>
      <c r="E99" s="2">
        <v>7</v>
      </c>
      <c r="F99" s="2">
        <v>11015.52</v>
      </c>
      <c r="G99" s="2" t="s">
        <v>11</v>
      </c>
      <c r="I99" s="2" t="s">
        <v>22</v>
      </c>
      <c r="J99" t="str">
        <f t="shared" si="2"/>
        <v>03/04/2025</v>
      </c>
    </row>
    <row r="100" spans="1:10">
      <c r="A100" s="2" t="s">
        <v>101</v>
      </c>
      <c r="B100" s="2" t="s">
        <v>40</v>
      </c>
      <c r="C100" s="2" t="s">
        <v>13</v>
      </c>
      <c r="D100" s="2" t="s">
        <v>14</v>
      </c>
      <c r="E100" s="2">
        <v>3</v>
      </c>
      <c r="F100" s="2">
        <v>88708.41</v>
      </c>
      <c r="G100" s="2" t="s">
        <v>11</v>
      </c>
      <c r="I100" s="2" t="s">
        <v>101</v>
      </c>
      <c r="J100" t="str">
        <f t="shared" si="2"/>
        <v>04/04/2025</v>
      </c>
    </row>
    <row r="101" spans="1:10">
      <c r="A101" s="2" t="s">
        <v>101</v>
      </c>
      <c r="B101" s="2" t="s">
        <v>28</v>
      </c>
      <c r="C101" s="2" t="s">
        <v>13</v>
      </c>
      <c r="D101" s="2" t="s">
        <v>14</v>
      </c>
      <c r="E101" s="2">
        <v>10</v>
      </c>
      <c r="F101" s="2">
        <v>105158.68</v>
      </c>
      <c r="G101" s="2" t="s">
        <v>23</v>
      </c>
      <c r="I101" s="2" t="s">
        <v>101</v>
      </c>
      <c r="J101" t="str">
        <f t="shared" si="2"/>
        <v>04/04/2025</v>
      </c>
    </row>
    <row r="102" spans="1:10">
      <c r="A102" s="2" t="s">
        <v>45</v>
      </c>
      <c r="B102" s="2" t="s">
        <v>40</v>
      </c>
      <c r="C102" s="2" t="s">
        <v>31</v>
      </c>
      <c r="D102" s="2" t="s">
        <v>20</v>
      </c>
      <c r="E102" s="2">
        <v>6</v>
      </c>
      <c r="F102" s="2"/>
      <c r="G102" s="2" t="s">
        <v>29</v>
      </c>
      <c r="I102" s="2" t="s">
        <v>45</v>
      </c>
      <c r="J102" t="str">
        <f t="shared" si="2"/>
        <v>06/04/2025</v>
      </c>
    </row>
    <row r="103" spans="1:10">
      <c r="A103" s="2" t="s">
        <v>45</v>
      </c>
      <c r="B103" s="2" t="s">
        <v>127</v>
      </c>
      <c r="C103" s="2" t="s">
        <v>13</v>
      </c>
      <c r="D103" s="2" t="s">
        <v>14</v>
      </c>
      <c r="E103" s="2">
        <v>2</v>
      </c>
      <c r="F103" s="2">
        <v>102325.79</v>
      </c>
      <c r="G103" s="2" t="s">
        <v>29</v>
      </c>
      <c r="I103" s="2" t="s">
        <v>45</v>
      </c>
      <c r="J103" t="str">
        <f t="shared" si="2"/>
        <v>06/04/2025</v>
      </c>
    </row>
    <row r="104" spans="1:10">
      <c r="A104" s="2" t="s">
        <v>73</v>
      </c>
      <c r="B104" s="2" t="s">
        <v>128</v>
      </c>
      <c r="C104" s="2" t="s">
        <v>31</v>
      </c>
      <c r="D104" s="2" t="s">
        <v>20</v>
      </c>
      <c r="E104" s="2">
        <v>10</v>
      </c>
      <c r="F104" s="2">
        <v>46682.23</v>
      </c>
      <c r="G104" s="2" t="s">
        <v>32</v>
      </c>
      <c r="I104" s="2" t="s">
        <v>73</v>
      </c>
      <c r="J104" t="str">
        <f t="shared" si="2"/>
        <v>07/04/2025</v>
      </c>
    </row>
    <row r="105" spans="1:10">
      <c r="A105" s="2" t="s">
        <v>73</v>
      </c>
      <c r="B105" s="2" t="s">
        <v>40</v>
      </c>
      <c r="C105" s="2" t="s">
        <v>31</v>
      </c>
      <c r="D105" s="2" t="s">
        <v>20</v>
      </c>
      <c r="E105" s="2">
        <v>3</v>
      </c>
      <c r="F105" s="2">
        <v>43273.57</v>
      </c>
      <c r="G105" s="2" t="s">
        <v>11</v>
      </c>
      <c r="I105" s="2" t="s">
        <v>73</v>
      </c>
      <c r="J105" t="str">
        <f t="shared" si="2"/>
        <v>07/04/2025</v>
      </c>
    </row>
    <row r="106" spans="1:10">
      <c r="A106" s="2" t="s">
        <v>73</v>
      </c>
      <c r="B106" s="2" t="s">
        <v>8</v>
      </c>
      <c r="C106" s="2" t="s">
        <v>9</v>
      </c>
      <c r="D106" s="2" t="s">
        <v>10</v>
      </c>
      <c r="E106" s="2">
        <v>5</v>
      </c>
      <c r="F106" s="2">
        <v>8544.4</v>
      </c>
      <c r="G106" s="2" t="s">
        <v>29</v>
      </c>
      <c r="I106" s="2" t="s">
        <v>73</v>
      </c>
      <c r="J106" t="str">
        <f t="shared" si="2"/>
        <v>07/04/2025</v>
      </c>
    </row>
    <row r="107" spans="1:10">
      <c r="A107" s="2" t="s">
        <v>73</v>
      </c>
      <c r="B107" s="2" t="s">
        <v>130</v>
      </c>
      <c r="C107" s="2" t="s">
        <v>16</v>
      </c>
      <c r="D107" s="2" t="s">
        <v>10</v>
      </c>
      <c r="E107" s="2">
        <v>1</v>
      </c>
      <c r="F107" s="2"/>
      <c r="G107" s="2" t="s">
        <v>11</v>
      </c>
      <c r="I107" s="2" t="s">
        <v>73</v>
      </c>
      <c r="J107" t="str">
        <f t="shared" si="2"/>
        <v>07/04/2025</v>
      </c>
    </row>
    <row r="108" spans="1:10">
      <c r="A108" s="2" t="s">
        <v>39</v>
      </c>
      <c r="B108" s="2" t="s">
        <v>40</v>
      </c>
      <c r="C108" s="2"/>
      <c r="D108" s="2" t="s">
        <v>10</v>
      </c>
      <c r="E108" s="2">
        <v>7</v>
      </c>
      <c r="F108" s="2">
        <v>11798.53</v>
      </c>
      <c r="G108" s="2" t="s">
        <v>11</v>
      </c>
      <c r="I108" s="2" t="s">
        <v>39</v>
      </c>
      <c r="J108" t="str">
        <f t="shared" si="2"/>
        <v>09/04/2025</v>
      </c>
    </row>
    <row r="109" spans="1:10">
      <c r="A109" s="2" t="s">
        <v>39</v>
      </c>
      <c r="B109" s="2" t="s">
        <v>28</v>
      </c>
      <c r="C109" s="2" t="s">
        <v>13</v>
      </c>
      <c r="D109" s="2" t="s">
        <v>14</v>
      </c>
      <c r="E109" s="2">
        <v>10</v>
      </c>
      <c r="F109" s="2"/>
      <c r="G109" s="2" t="s">
        <v>43</v>
      </c>
      <c r="I109" s="2" t="s">
        <v>39</v>
      </c>
      <c r="J109" t="str">
        <f t="shared" si="2"/>
        <v>09/04/2025</v>
      </c>
    </row>
    <row r="110" spans="1:10">
      <c r="A110" s="2" t="s">
        <v>39</v>
      </c>
      <c r="B110" s="2" t="s">
        <v>128</v>
      </c>
      <c r="C110" s="2" t="s">
        <v>19</v>
      </c>
      <c r="D110" s="2" t="s">
        <v>20</v>
      </c>
      <c r="E110" s="2">
        <v>7</v>
      </c>
      <c r="F110" s="2"/>
      <c r="G110" s="2" t="s">
        <v>32</v>
      </c>
      <c r="I110" s="2" t="s">
        <v>39</v>
      </c>
      <c r="J110" t="str">
        <f t="shared" si="2"/>
        <v>09/04/2025</v>
      </c>
    </row>
    <row r="111" spans="1:10">
      <c r="A111" s="2" t="s">
        <v>39</v>
      </c>
      <c r="B111" s="2" t="s">
        <v>130</v>
      </c>
      <c r="C111" s="2" t="s">
        <v>16</v>
      </c>
      <c r="D111" s="2" t="s">
        <v>10</v>
      </c>
      <c r="E111" s="2">
        <v>-2</v>
      </c>
      <c r="F111" s="2">
        <v>11530.56</v>
      </c>
      <c r="G111" s="2"/>
      <c r="I111" s="2" t="s">
        <v>39</v>
      </c>
      <c r="J111" t="str">
        <f t="shared" si="2"/>
        <v>09/04/2025</v>
      </c>
    </row>
    <row r="112" spans="1:10">
      <c r="A112" s="2" t="s">
        <v>15</v>
      </c>
      <c r="B112" s="2" t="s">
        <v>128</v>
      </c>
      <c r="C112" s="2" t="s">
        <v>16</v>
      </c>
      <c r="D112" s="2" t="s">
        <v>10</v>
      </c>
      <c r="E112" s="2">
        <v>4</v>
      </c>
      <c r="F112" s="2">
        <v>12451.69</v>
      </c>
      <c r="G112" s="2" t="s">
        <v>17</v>
      </c>
      <c r="I112" s="2" t="s">
        <v>15</v>
      </c>
      <c r="J112" t="str">
        <f t="shared" si="2"/>
        <v>10/04/2025</v>
      </c>
    </row>
    <row r="113" spans="1:10">
      <c r="A113" s="2" t="s">
        <v>15</v>
      </c>
      <c r="B113" s="2" t="s">
        <v>129</v>
      </c>
      <c r="C113" s="2" t="s">
        <v>26</v>
      </c>
      <c r="D113" s="2" t="s">
        <v>10</v>
      </c>
      <c r="E113" s="2">
        <v>-2</v>
      </c>
      <c r="F113" s="2">
        <v>14932.05</v>
      </c>
      <c r="G113" s="2" t="s">
        <v>11</v>
      </c>
      <c r="I113" s="2" t="s">
        <v>15</v>
      </c>
      <c r="J113" t="str">
        <f t="shared" si="2"/>
        <v>10/04/2025</v>
      </c>
    </row>
    <row r="114" spans="1:10">
      <c r="A114" s="2" t="s">
        <v>115</v>
      </c>
      <c r="B114" s="2" t="s">
        <v>128</v>
      </c>
      <c r="C114" s="2" t="s">
        <v>34</v>
      </c>
      <c r="D114" s="2" t="s">
        <v>14</v>
      </c>
      <c r="E114" s="2">
        <v>7</v>
      </c>
      <c r="F114" s="2">
        <v>206884.76</v>
      </c>
      <c r="G114" s="2"/>
      <c r="I114" s="2" t="s">
        <v>115</v>
      </c>
      <c r="J114" t="str">
        <f t="shared" si="2"/>
        <v>11/04/2025</v>
      </c>
    </row>
    <row r="115" spans="1:10">
      <c r="A115" s="2" t="s">
        <v>115</v>
      </c>
      <c r="B115" s="2" t="s">
        <v>28</v>
      </c>
      <c r="C115" s="2" t="s">
        <v>19</v>
      </c>
      <c r="D115" s="2" t="s">
        <v>20</v>
      </c>
      <c r="E115" s="2">
        <v>2</v>
      </c>
      <c r="F115" s="2"/>
      <c r="G115" s="2" t="s">
        <v>43</v>
      </c>
      <c r="I115" s="2" t="s">
        <v>115</v>
      </c>
      <c r="J115" t="str">
        <f t="shared" si="2"/>
        <v>11/04/2025</v>
      </c>
    </row>
    <row r="116" spans="1:10">
      <c r="A116" s="2" t="s">
        <v>74</v>
      </c>
      <c r="B116" s="2" t="s">
        <v>127</v>
      </c>
      <c r="C116" s="2" t="s">
        <v>19</v>
      </c>
      <c r="D116" s="2" t="s">
        <v>20</v>
      </c>
      <c r="E116" s="2">
        <v>6</v>
      </c>
      <c r="F116" s="2">
        <v>71697.23</v>
      </c>
      <c r="G116" s="2" t="s">
        <v>17</v>
      </c>
      <c r="I116" s="2" t="s">
        <v>74</v>
      </c>
      <c r="J116" t="str">
        <f t="shared" si="2"/>
        <v>12/04/2025</v>
      </c>
    </row>
    <row r="117" spans="1:10">
      <c r="A117" s="2" t="s">
        <v>107</v>
      </c>
      <c r="B117" s="2" t="s">
        <v>28</v>
      </c>
      <c r="C117" s="2" t="s">
        <v>9</v>
      </c>
      <c r="D117" s="2" t="s">
        <v>10</v>
      </c>
      <c r="E117" s="2">
        <v>3</v>
      </c>
      <c r="F117" s="2">
        <v>7783.4</v>
      </c>
      <c r="G117" s="2" t="s">
        <v>43</v>
      </c>
      <c r="I117" s="2" t="s">
        <v>107</v>
      </c>
      <c r="J117" t="str">
        <f t="shared" si="2"/>
        <v>14/04/2025</v>
      </c>
    </row>
    <row r="118" spans="1:10">
      <c r="A118" s="2" t="s">
        <v>107</v>
      </c>
      <c r="B118" s="2" t="s">
        <v>8</v>
      </c>
      <c r="C118" s="2"/>
      <c r="D118" s="2" t="s">
        <v>20</v>
      </c>
      <c r="E118" s="2">
        <v>-2</v>
      </c>
      <c r="F118" s="2">
        <v>40092.550000000003</v>
      </c>
      <c r="G118" s="2"/>
      <c r="I118" s="2" t="s">
        <v>107</v>
      </c>
      <c r="J118" t="str">
        <f t="shared" si="2"/>
        <v>14/04/2025</v>
      </c>
    </row>
    <row r="119" spans="1:10">
      <c r="A119" s="2" t="s">
        <v>50</v>
      </c>
      <c r="B119" s="2" t="s">
        <v>40</v>
      </c>
      <c r="C119" s="2" t="s">
        <v>31</v>
      </c>
      <c r="D119" s="2" t="s">
        <v>20</v>
      </c>
      <c r="E119" s="2">
        <v>10</v>
      </c>
      <c r="F119" s="2">
        <v>49490.85</v>
      </c>
      <c r="G119" s="2" t="s">
        <v>23</v>
      </c>
      <c r="I119" s="2" t="s">
        <v>50</v>
      </c>
      <c r="J119" t="str">
        <f t="shared" si="2"/>
        <v>15/04/2025</v>
      </c>
    </row>
    <row r="120" spans="1:10">
      <c r="A120" s="2" t="s">
        <v>47</v>
      </c>
      <c r="B120" s="2" t="s">
        <v>130</v>
      </c>
      <c r="C120" s="2"/>
      <c r="D120" s="2" t="s">
        <v>10</v>
      </c>
      <c r="E120" s="2">
        <v>5</v>
      </c>
      <c r="F120" s="2"/>
      <c r="G120" s="2" t="s">
        <v>29</v>
      </c>
      <c r="I120" s="2" t="s">
        <v>47</v>
      </c>
      <c r="J120" t="str">
        <f t="shared" si="2"/>
        <v>16/04/2025</v>
      </c>
    </row>
    <row r="121" spans="1:10">
      <c r="A121" s="2" t="s">
        <v>47</v>
      </c>
      <c r="B121" s="2" t="s">
        <v>128</v>
      </c>
      <c r="C121" s="2" t="s">
        <v>13</v>
      </c>
      <c r="D121" s="2" t="s">
        <v>14</v>
      </c>
      <c r="E121" s="2">
        <v>6</v>
      </c>
      <c r="F121" s="2">
        <v>105821.36</v>
      </c>
      <c r="G121" s="2" t="s">
        <v>17</v>
      </c>
      <c r="I121" s="2" t="s">
        <v>47</v>
      </c>
      <c r="J121" t="str">
        <f t="shared" si="2"/>
        <v>16/04/2025</v>
      </c>
    </row>
    <row r="122" spans="1:10">
      <c r="A122" s="2" t="s">
        <v>12</v>
      </c>
      <c r="B122" s="2" t="s">
        <v>127</v>
      </c>
      <c r="C122" s="2" t="s">
        <v>13</v>
      </c>
      <c r="D122" s="2" t="s">
        <v>14</v>
      </c>
      <c r="E122" s="2">
        <v>1</v>
      </c>
      <c r="F122" s="2">
        <v>108357.95</v>
      </c>
      <c r="G122" s="2"/>
      <c r="I122" s="2" t="s">
        <v>12</v>
      </c>
      <c r="J122" t="str">
        <f t="shared" si="2"/>
        <v>17/04/2025</v>
      </c>
    </row>
    <row r="123" spans="1:10">
      <c r="A123" s="2" t="s">
        <v>89</v>
      </c>
      <c r="B123" s="2" t="s">
        <v>129</v>
      </c>
      <c r="C123" s="2" t="s">
        <v>19</v>
      </c>
      <c r="D123" s="2" t="s">
        <v>20</v>
      </c>
      <c r="E123" s="2">
        <v>8</v>
      </c>
      <c r="F123" s="2"/>
      <c r="G123" s="2" t="s">
        <v>11</v>
      </c>
      <c r="I123" s="2" t="s">
        <v>89</v>
      </c>
      <c r="J123" t="str">
        <f t="shared" si="2"/>
        <v>18/04/2025</v>
      </c>
    </row>
    <row r="124" spans="1:10">
      <c r="A124" s="2" t="s">
        <v>75</v>
      </c>
      <c r="B124" s="2" t="s">
        <v>129</v>
      </c>
      <c r="C124" s="2" t="s">
        <v>34</v>
      </c>
      <c r="D124" s="2" t="s">
        <v>14</v>
      </c>
      <c r="E124" s="2">
        <v>5</v>
      </c>
      <c r="F124" s="2"/>
      <c r="G124" s="2" t="s">
        <v>32</v>
      </c>
      <c r="I124" s="2" t="s">
        <v>75</v>
      </c>
      <c r="J124" t="str">
        <f t="shared" si="2"/>
        <v>21/04/2025</v>
      </c>
    </row>
    <row r="125" spans="1:10">
      <c r="A125" s="2" t="s">
        <v>62</v>
      </c>
      <c r="B125" s="2" t="s">
        <v>8</v>
      </c>
      <c r="C125" s="2" t="s">
        <v>34</v>
      </c>
      <c r="D125" s="2" t="s">
        <v>14</v>
      </c>
      <c r="E125" s="2">
        <v>2</v>
      </c>
      <c r="F125" s="2">
        <v>181314.89</v>
      </c>
      <c r="G125" s="2" t="s">
        <v>21</v>
      </c>
      <c r="I125" s="2" t="s">
        <v>62</v>
      </c>
      <c r="J125" t="str">
        <f t="shared" si="2"/>
        <v>22/04/2025</v>
      </c>
    </row>
    <row r="126" spans="1:10">
      <c r="A126" s="2" t="s">
        <v>62</v>
      </c>
      <c r="B126" s="2" t="s">
        <v>130</v>
      </c>
      <c r="C126" s="2" t="s">
        <v>9</v>
      </c>
      <c r="D126" s="2" t="s">
        <v>10</v>
      </c>
      <c r="E126" s="2">
        <v>9</v>
      </c>
      <c r="F126" s="2">
        <v>8132.34</v>
      </c>
      <c r="G126" s="2" t="s">
        <v>21</v>
      </c>
      <c r="I126" s="2" t="s">
        <v>62</v>
      </c>
      <c r="J126" t="str">
        <f t="shared" si="2"/>
        <v>22/04/2025</v>
      </c>
    </row>
    <row r="127" spans="1:10">
      <c r="A127" s="2" t="s">
        <v>110</v>
      </c>
      <c r="B127" s="2" t="s">
        <v>129</v>
      </c>
      <c r="C127" s="2" t="s">
        <v>16</v>
      </c>
      <c r="D127" s="2" t="s">
        <v>10</v>
      </c>
      <c r="E127" s="2">
        <v>5</v>
      </c>
      <c r="F127" s="2">
        <v>11907.84</v>
      </c>
      <c r="G127" s="2"/>
      <c r="I127" s="2" t="s">
        <v>110</v>
      </c>
      <c r="J127" t="str">
        <f t="shared" si="2"/>
        <v>23/04/2025</v>
      </c>
    </row>
    <row r="128" spans="1:10">
      <c r="A128" s="2" t="s">
        <v>88</v>
      </c>
      <c r="B128" s="2" t="s">
        <v>131</v>
      </c>
      <c r="C128" s="2" t="s">
        <v>26</v>
      </c>
      <c r="D128" s="2" t="s">
        <v>10</v>
      </c>
      <c r="E128" s="2">
        <v>5</v>
      </c>
      <c r="F128" s="2"/>
      <c r="G128" s="2" t="s">
        <v>43</v>
      </c>
      <c r="I128" s="2" t="s">
        <v>88</v>
      </c>
      <c r="J128" t="str">
        <f t="shared" si="2"/>
        <v>24/04/2025</v>
      </c>
    </row>
    <row r="129" spans="1:10">
      <c r="A129" s="2" t="s">
        <v>104</v>
      </c>
      <c r="B129" s="2" t="s">
        <v>128</v>
      </c>
      <c r="C129" s="2" t="s">
        <v>13</v>
      </c>
      <c r="D129" s="2" t="s">
        <v>14</v>
      </c>
      <c r="E129" s="2">
        <v>2</v>
      </c>
      <c r="F129" s="2"/>
      <c r="G129" s="2" t="s">
        <v>21</v>
      </c>
      <c r="I129" s="2" t="s">
        <v>104</v>
      </c>
      <c r="J129" t="str">
        <f t="shared" si="2"/>
        <v>25/04/2025</v>
      </c>
    </row>
    <row r="130" spans="1:10">
      <c r="A130" s="2" t="s">
        <v>104</v>
      </c>
      <c r="B130" s="2" t="s">
        <v>129</v>
      </c>
      <c r="C130" s="2" t="s">
        <v>27</v>
      </c>
      <c r="D130" s="2" t="s">
        <v>14</v>
      </c>
      <c r="E130" s="2">
        <v>10</v>
      </c>
      <c r="F130" s="2"/>
      <c r="G130" s="2" t="s">
        <v>29</v>
      </c>
      <c r="I130" s="2" t="s">
        <v>104</v>
      </c>
      <c r="J130" t="str">
        <f t="shared" si="2"/>
        <v>25/04/2025</v>
      </c>
    </row>
    <row r="131" spans="1:10">
      <c r="A131" s="2" t="s">
        <v>42</v>
      </c>
      <c r="B131" s="2" t="s">
        <v>127</v>
      </c>
      <c r="C131" s="2" t="s">
        <v>31</v>
      </c>
      <c r="D131" s="2" t="s">
        <v>20</v>
      </c>
      <c r="E131" s="2">
        <v>7</v>
      </c>
      <c r="F131" s="2">
        <v>43599.72</v>
      </c>
      <c r="G131" s="2" t="s">
        <v>43</v>
      </c>
      <c r="I131" s="2" t="s">
        <v>42</v>
      </c>
      <c r="J131" t="str">
        <f t="shared" si="2"/>
        <v>26/04/2025</v>
      </c>
    </row>
    <row r="132" spans="1:10">
      <c r="A132" s="2" t="s">
        <v>42</v>
      </c>
      <c r="B132" s="2" t="s">
        <v>130</v>
      </c>
      <c r="C132" s="2" t="s">
        <v>31</v>
      </c>
      <c r="D132" s="2" t="s">
        <v>20</v>
      </c>
      <c r="E132" s="2">
        <v>2</v>
      </c>
      <c r="F132" s="2"/>
      <c r="G132" s="2" t="s">
        <v>23</v>
      </c>
      <c r="I132" s="2" t="s">
        <v>42</v>
      </c>
      <c r="J132" t="str">
        <f t="shared" si="2"/>
        <v>26/04/2025</v>
      </c>
    </row>
    <row r="133" spans="1:10">
      <c r="A133" s="2" t="s">
        <v>76</v>
      </c>
      <c r="B133" s="2" t="s">
        <v>127</v>
      </c>
      <c r="C133" s="2" t="s">
        <v>26</v>
      </c>
      <c r="D133" s="2" t="s">
        <v>10</v>
      </c>
      <c r="E133" s="2">
        <v>2</v>
      </c>
      <c r="F133" s="2"/>
      <c r="G133" s="2" t="s">
        <v>32</v>
      </c>
      <c r="I133" s="2" t="s">
        <v>76</v>
      </c>
      <c r="J133" t="str">
        <f t="shared" si="2"/>
        <v>27/04/2025</v>
      </c>
    </row>
    <row r="134" spans="1:10">
      <c r="A134" s="2" t="s">
        <v>76</v>
      </c>
      <c r="B134" s="2" t="s">
        <v>28</v>
      </c>
      <c r="C134" s="2" t="s">
        <v>34</v>
      </c>
      <c r="D134" s="2" t="s">
        <v>14</v>
      </c>
      <c r="E134" s="2">
        <v>6</v>
      </c>
      <c r="F134" s="2">
        <v>174757.36</v>
      </c>
      <c r="G134" s="2" t="s">
        <v>32</v>
      </c>
      <c r="I134" s="2" t="s">
        <v>76</v>
      </c>
      <c r="J134" t="str">
        <f t="shared" si="2"/>
        <v>27/04/2025</v>
      </c>
    </row>
    <row r="135" spans="1:10">
      <c r="A135" s="2" t="s">
        <v>65</v>
      </c>
      <c r="B135" s="2" t="s">
        <v>40</v>
      </c>
      <c r="C135" s="2" t="s">
        <v>16</v>
      </c>
      <c r="D135" s="2" t="s">
        <v>10</v>
      </c>
      <c r="E135" s="2">
        <v>8</v>
      </c>
      <c r="F135" s="2"/>
      <c r="G135" s="2" t="s">
        <v>43</v>
      </c>
      <c r="I135" s="2" t="s">
        <v>65</v>
      </c>
      <c r="J135" t="str">
        <f t="shared" si="2"/>
        <v>28/04/2025</v>
      </c>
    </row>
    <row r="136" spans="1:10">
      <c r="A136" s="2" t="s">
        <v>78</v>
      </c>
      <c r="B136" s="2" t="s">
        <v>128</v>
      </c>
      <c r="C136" s="2" t="s">
        <v>13</v>
      </c>
      <c r="D136" s="2" t="s">
        <v>14</v>
      </c>
      <c r="E136" s="2">
        <v>7</v>
      </c>
      <c r="F136" s="2">
        <v>95535.15</v>
      </c>
      <c r="G136" s="2" t="s">
        <v>43</v>
      </c>
      <c r="I136" s="2" t="s">
        <v>78</v>
      </c>
      <c r="J136" t="str">
        <f t="shared" si="2"/>
        <v>29/04/2025</v>
      </c>
    </row>
    <row r="137" spans="1:10">
      <c r="A137" s="2" t="s">
        <v>78</v>
      </c>
      <c r="B137" s="2" t="s">
        <v>130</v>
      </c>
      <c r="C137" s="2" t="s">
        <v>13</v>
      </c>
      <c r="D137" s="2" t="s">
        <v>14</v>
      </c>
      <c r="E137" s="2">
        <v>6</v>
      </c>
      <c r="F137" s="2"/>
      <c r="G137" s="2" t="s">
        <v>23</v>
      </c>
      <c r="I137" s="2" t="s">
        <v>78</v>
      </c>
      <c r="J137" t="str">
        <f t="shared" si="2"/>
        <v>29/04/2025</v>
      </c>
    </row>
    <row r="138" spans="1:10">
      <c r="A138" s="2" t="s">
        <v>82</v>
      </c>
      <c r="B138" s="2" t="s">
        <v>127</v>
      </c>
      <c r="C138" s="2" t="s">
        <v>13</v>
      </c>
      <c r="D138" s="2" t="s">
        <v>14</v>
      </c>
      <c r="E138" s="2">
        <v>7</v>
      </c>
      <c r="F138" s="2">
        <v>100398.88</v>
      </c>
      <c r="G138" s="2"/>
      <c r="I138" s="2" t="s">
        <v>82</v>
      </c>
      <c r="J138" t="str">
        <f t="shared" si="2"/>
        <v>01/05/2025</v>
      </c>
    </row>
    <row r="139" spans="1:10">
      <c r="A139" s="2" t="s">
        <v>58</v>
      </c>
      <c r="B139" s="2" t="s">
        <v>131</v>
      </c>
      <c r="C139" s="2" t="s">
        <v>13</v>
      </c>
      <c r="D139" s="2" t="s">
        <v>14</v>
      </c>
      <c r="E139" s="2">
        <v>4</v>
      </c>
      <c r="F139" s="2">
        <v>100868.26</v>
      </c>
      <c r="G139" s="2" t="s">
        <v>43</v>
      </c>
      <c r="I139" s="2" t="s">
        <v>58</v>
      </c>
      <c r="J139" t="str">
        <f t="shared" si="2"/>
        <v>03/05/2025</v>
      </c>
    </row>
    <row r="140" spans="1:10">
      <c r="A140" s="2" t="s">
        <v>119</v>
      </c>
      <c r="B140" s="2" t="s">
        <v>130</v>
      </c>
      <c r="C140" s="2" t="s">
        <v>31</v>
      </c>
      <c r="D140" s="2" t="s">
        <v>20</v>
      </c>
      <c r="E140" s="2">
        <v>3</v>
      </c>
      <c r="F140" s="2"/>
      <c r="G140" s="2" t="s">
        <v>23</v>
      </c>
      <c r="I140" s="2" t="s">
        <v>119</v>
      </c>
      <c r="J140" t="str">
        <f t="shared" si="2"/>
        <v>04/05/2025</v>
      </c>
    </row>
    <row r="141" spans="1:10">
      <c r="A141" s="2" t="s">
        <v>46</v>
      </c>
      <c r="B141" s="2" t="s">
        <v>129</v>
      </c>
      <c r="C141" s="2" t="s">
        <v>9</v>
      </c>
      <c r="D141" s="2" t="s">
        <v>10</v>
      </c>
      <c r="E141" s="2">
        <v>1</v>
      </c>
      <c r="F141" s="2">
        <v>7032.07</v>
      </c>
      <c r="G141" s="2" t="s">
        <v>23</v>
      </c>
      <c r="I141" s="2" t="s">
        <v>46</v>
      </c>
      <c r="J141" t="str">
        <f t="shared" ref="J141:J201" si="3">TEXT(I141,"dd/mm/yyyy")</f>
        <v>06/05/2025</v>
      </c>
    </row>
    <row r="142" spans="1:10">
      <c r="A142" s="2" t="s">
        <v>103</v>
      </c>
      <c r="B142" s="2" t="s">
        <v>130</v>
      </c>
      <c r="C142" s="2" t="s">
        <v>31</v>
      </c>
      <c r="D142" s="2" t="s">
        <v>20</v>
      </c>
      <c r="E142" s="2">
        <v>2</v>
      </c>
      <c r="F142" s="2">
        <v>41152.379999999997</v>
      </c>
      <c r="G142" s="2" t="s">
        <v>29</v>
      </c>
      <c r="I142" s="2" t="s">
        <v>103</v>
      </c>
      <c r="J142" t="str">
        <f t="shared" si="3"/>
        <v>07/05/2025</v>
      </c>
    </row>
    <row r="143" spans="1:10">
      <c r="A143" s="2" t="s">
        <v>93</v>
      </c>
      <c r="B143" s="2" t="s">
        <v>127</v>
      </c>
      <c r="C143" s="2" t="s">
        <v>9</v>
      </c>
      <c r="D143" s="2" t="s">
        <v>10</v>
      </c>
      <c r="E143" s="2">
        <v>5</v>
      </c>
      <c r="F143" s="2">
        <v>9141.57</v>
      </c>
      <c r="G143" s="2" t="s">
        <v>32</v>
      </c>
      <c r="I143" s="2" t="s">
        <v>93</v>
      </c>
      <c r="J143" t="str">
        <f t="shared" si="3"/>
        <v>08/05/2025</v>
      </c>
    </row>
    <row r="144" spans="1:10">
      <c r="A144" s="2" t="s">
        <v>81</v>
      </c>
      <c r="B144" s="2" t="s">
        <v>40</v>
      </c>
      <c r="C144" s="2" t="s">
        <v>31</v>
      </c>
      <c r="D144" s="2" t="s">
        <v>20</v>
      </c>
      <c r="E144" s="2">
        <v>4</v>
      </c>
      <c r="F144" s="2">
        <v>38949.17</v>
      </c>
      <c r="G144" s="2" t="s">
        <v>11</v>
      </c>
      <c r="I144" s="2" t="s">
        <v>81</v>
      </c>
      <c r="J144" t="str">
        <f t="shared" si="3"/>
        <v>09/05/2025</v>
      </c>
    </row>
    <row r="145" spans="1:10">
      <c r="A145" s="2" t="s">
        <v>81</v>
      </c>
      <c r="B145" s="2" t="s">
        <v>128</v>
      </c>
      <c r="C145" s="2" t="s">
        <v>19</v>
      </c>
      <c r="D145" s="2" t="s">
        <v>20</v>
      </c>
      <c r="E145" s="2">
        <v>3</v>
      </c>
      <c r="F145" s="2"/>
      <c r="G145" s="2" t="s">
        <v>23</v>
      </c>
      <c r="I145" s="2" t="s">
        <v>81</v>
      </c>
      <c r="J145" t="str">
        <f t="shared" si="3"/>
        <v>09/05/2025</v>
      </c>
    </row>
    <row r="146" spans="1:10">
      <c r="A146" s="2" t="s">
        <v>85</v>
      </c>
      <c r="B146" s="2" t="s">
        <v>128</v>
      </c>
      <c r="C146" s="2" t="s">
        <v>19</v>
      </c>
      <c r="D146" s="2" t="s">
        <v>20</v>
      </c>
      <c r="E146" s="2">
        <v>10</v>
      </c>
      <c r="F146" s="2">
        <v>90314.29</v>
      </c>
      <c r="G146" s="2"/>
      <c r="I146" s="2" t="s">
        <v>85</v>
      </c>
      <c r="J146" t="str">
        <f t="shared" si="3"/>
        <v>10/05/2025</v>
      </c>
    </row>
    <row r="147" spans="1:10">
      <c r="A147" s="2" t="s">
        <v>54</v>
      </c>
      <c r="B147" s="2" t="s">
        <v>129</v>
      </c>
      <c r="C147" s="2" t="s">
        <v>19</v>
      </c>
      <c r="D147" s="2" t="s">
        <v>20</v>
      </c>
      <c r="E147" s="2">
        <v>3</v>
      </c>
      <c r="F147" s="2">
        <v>74388.37</v>
      </c>
      <c r="G147" s="2" t="s">
        <v>11</v>
      </c>
      <c r="I147" s="2" t="s">
        <v>54</v>
      </c>
      <c r="J147" t="str">
        <f t="shared" si="3"/>
        <v>11/05/2025</v>
      </c>
    </row>
    <row r="148" spans="1:10">
      <c r="A148" s="2" t="s">
        <v>54</v>
      </c>
      <c r="B148" s="2" t="s">
        <v>127</v>
      </c>
      <c r="C148" s="2" t="s">
        <v>9</v>
      </c>
      <c r="D148" s="2" t="s">
        <v>10</v>
      </c>
      <c r="E148" s="2">
        <v>3</v>
      </c>
      <c r="F148" s="2">
        <v>8730.06</v>
      </c>
      <c r="G148" s="2" t="s">
        <v>43</v>
      </c>
      <c r="I148" s="2" t="s">
        <v>54</v>
      </c>
      <c r="J148" t="str">
        <f t="shared" si="3"/>
        <v>11/05/2025</v>
      </c>
    </row>
    <row r="149" spans="1:10">
      <c r="A149" s="2" t="s">
        <v>113</v>
      </c>
      <c r="B149" s="2" t="s">
        <v>129</v>
      </c>
      <c r="C149" s="2" t="s">
        <v>34</v>
      </c>
      <c r="D149" s="2" t="s">
        <v>14</v>
      </c>
      <c r="E149" s="2">
        <v>7</v>
      </c>
      <c r="F149" s="2">
        <v>160385.10999999999</v>
      </c>
      <c r="G149" s="2" t="s">
        <v>11</v>
      </c>
      <c r="I149" s="2" t="s">
        <v>113</v>
      </c>
      <c r="J149" t="str">
        <f t="shared" si="3"/>
        <v>12/05/2025</v>
      </c>
    </row>
    <row r="150" spans="1:10">
      <c r="A150" s="2" t="s">
        <v>61</v>
      </c>
      <c r="B150" s="2" t="s">
        <v>127</v>
      </c>
      <c r="C150" s="2" t="s">
        <v>16</v>
      </c>
      <c r="D150" s="2" t="s">
        <v>10</v>
      </c>
      <c r="E150" s="2">
        <v>4</v>
      </c>
      <c r="F150" s="2">
        <v>13391.8</v>
      </c>
      <c r="G150" s="2"/>
      <c r="I150" s="2" t="s">
        <v>61</v>
      </c>
      <c r="J150" t="str">
        <f t="shared" si="3"/>
        <v>16/05/2025</v>
      </c>
    </row>
    <row r="151" spans="1:10">
      <c r="A151" s="2" t="s">
        <v>61</v>
      </c>
      <c r="B151" s="2" t="s">
        <v>127</v>
      </c>
      <c r="C151" s="2" t="s">
        <v>16</v>
      </c>
      <c r="D151" s="2" t="s">
        <v>10</v>
      </c>
      <c r="E151" s="2">
        <v>4</v>
      </c>
      <c r="F151" s="2">
        <v>11515.53</v>
      </c>
      <c r="G151" s="2" t="s">
        <v>23</v>
      </c>
      <c r="I151" s="2" t="s">
        <v>61</v>
      </c>
      <c r="J151" t="str">
        <f t="shared" si="3"/>
        <v>16/05/2025</v>
      </c>
    </row>
    <row r="152" spans="1:10">
      <c r="A152" s="2" t="s">
        <v>25</v>
      </c>
      <c r="B152" s="2" t="s">
        <v>8</v>
      </c>
      <c r="C152" s="2" t="s">
        <v>26</v>
      </c>
      <c r="D152" s="2" t="s">
        <v>10</v>
      </c>
      <c r="E152" s="2">
        <v>8</v>
      </c>
      <c r="F152" s="2">
        <v>15570.79</v>
      </c>
      <c r="G152" s="2" t="s">
        <v>23</v>
      </c>
      <c r="I152" s="2" t="s">
        <v>25</v>
      </c>
      <c r="J152" t="str">
        <f t="shared" si="3"/>
        <v>17/05/2025</v>
      </c>
    </row>
    <row r="153" spans="1:10">
      <c r="A153" s="2" t="s">
        <v>25</v>
      </c>
      <c r="B153" s="2" t="s">
        <v>127</v>
      </c>
      <c r="C153" s="2" t="s">
        <v>34</v>
      </c>
      <c r="D153" s="2" t="s">
        <v>14</v>
      </c>
      <c r="E153" s="2">
        <v>7</v>
      </c>
      <c r="F153" s="2">
        <v>157056.35</v>
      </c>
      <c r="G153" s="2" t="s">
        <v>43</v>
      </c>
      <c r="I153" s="2" t="s">
        <v>25</v>
      </c>
      <c r="J153" t="str">
        <f t="shared" si="3"/>
        <v>17/05/2025</v>
      </c>
    </row>
    <row r="154" spans="1:10">
      <c r="A154" s="2" t="s">
        <v>69</v>
      </c>
      <c r="B154" s="2" t="s">
        <v>8</v>
      </c>
      <c r="C154" s="2" t="s">
        <v>13</v>
      </c>
      <c r="D154" s="2" t="s">
        <v>14</v>
      </c>
      <c r="E154" s="2">
        <v>2</v>
      </c>
      <c r="F154" s="2"/>
      <c r="G154" s="2" t="s">
        <v>17</v>
      </c>
      <c r="I154" s="2" t="s">
        <v>69</v>
      </c>
      <c r="J154" t="str">
        <f t="shared" si="3"/>
        <v>18/05/2025</v>
      </c>
    </row>
    <row r="155" spans="1:10">
      <c r="A155" s="2" t="s">
        <v>86</v>
      </c>
      <c r="B155" s="2" t="s">
        <v>128</v>
      </c>
      <c r="C155" s="2" t="s">
        <v>16</v>
      </c>
      <c r="D155" s="2" t="s">
        <v>10</v>
      </c>
      <c r="E155" s="2">
        <v>10</v>
      </c>
      <c r="F155" s="2">
        <v>10339.57</v>
      </c>
      <c r="G155" s="2"/>
      <c r="I155" s="2" t="s">
        <v>86</v>
      </c>
      <c r="J155" t="str">
        <f t="shared" si="3"/>
        <v>19/05/2025</v>
      </c>
    </row>
    <row r="156" spans="1:10">
      <c r="A156" s="2" t="s">
        <v>86</v>
      </c>
      <c r="B156" s="2" t="s">
        <v>130</v>
      </c>
      <c r="C156" s="2" t="s">
        <v>9</v>
      </c>
      <c r="D156" s="2" t="s">
        <v>10</v>
      </c>
      <c r="E156" s="2">
        <v>3</v>
      </c>
      <c r="F156" s="2">
        <v>8277.18</v>
      </c>
      <c r="G156" s="2" t="s">
        <v>23</v>
      </c>
      <c r="I156" s="2" t="s">
        <v>86</v>
      </c>
      <c r="J156" t="str">
        <f t="shared" si="3"/>
        <v>19/05/2025</v>
      </c>
    </row>
    <row r="157" spans="1:10">
      <c r="A157" s="2" t="s">
        <v>60</v>
      </c>
      <c r="B157" s="2" t="s">
        <v>8</v>
      </c>
      <c r="C157" s="2" t="s">
        <v>36</v>
      </c>
      <c r="D157" s="2" t="s">
        <v>14</v>
      </c>
      <c r="E157" s="2">
        <v>9</v>
      </c>
      <c r="F157" s="2">
        <v>389512.03</v>
      </c>
      <c r="G157" s="2" t="s">
        <v>17</v>
      </c>
      <c r="I157" s="2" t="s">
        <v>60</v>
      </c>
      <c r="J157" t="str">
        <f t="shared" si="3"/>
        <v>24/05/2025</v>
      </c>
    </row>
    <row r="158" spans="1:10">
      <c r="A158" s="2" t="s">
        <v>60</v>
      </c>
      <c r="B158" s="2" t="s">
        <v>129</v>
      </c>
      <c r="C158" s="2" t="s">
        <v>36</v>
      </c>
      <c r="D158" s="2" t="s">
        <v>14</v>
      </c>
      <c r="E158" s="2">
        <v>4</v>
      </c>
      <c r="F158" s="2">
        <v>400060.02</v>
      </c>
      <c r="G158" s="2"/>
      <c r="I158" s="2" t="s">
        <v>60</v>
      </c>
      <c r="J158" t="str">
        <f t="shared" si="3"/>
        <v>24/05/2025</v>
      </c>
    </row>
    <row r="159" spans="1:10">
      <c r="A159" s="2" t="s">
        <v>99</v>
      </c>
      <c r="B159" s="2" t="s">
        <v>130</v>
      </c>
      <c r="C159" s="2" t="s">
        <v>31</v>
      </c>
      <c r="D159" s="2" t="s">
        <v>20</v>
      </c>
      <c r="E159" s="2">
        <v>5</v>
      </c>
      <c r="F159" s="2">
        <v>50555.8</v>
      </c>
      <c r="G159" s="2"/>
      <c r="I159" s="2" t="s">
        <v>99</v>
      </c>
      <c r="J159" t="str">
        <f t="shared" si="3"/>
        <v>25/05/2025</v>
      </c>
    </row>
    <row r="160" spans="1:10">
      <c r="A160" s="2" t="s">
        <v>99</v>
      </c>
      <c r="B160" s="2" t="s">
        <v>131</v>
      </c>
      <c r="C160" s="2" t="s">
        <v>26</v>
      </c>
      <c r="D160" s="2" t="s">
        <v>10</v>
      </c>
      <c r="E160" s="2">
        <v>1</v>
      </c>
      <c r="F160" s="2"/>
      <c r="G160" s="2" t="s">
        <v>11</v>
      </c>
      <c r="I160" s="2" t="s">
        <v>99</v>
      </c>
      <c r="J160" t="str">
        <f t="shared" si="3"/>
        <v>25/05/2025</v>
      </c>
    </row>
    <row r="161" spans="1:10">
      <c r="A161" s="2" t="s">
        <v>123</v>
      </c>
      <c r="B161" s="2" t="s">
        <v>131</v>
      </c>
      <c r="C161" s="2" t="s">
        <v>26</v>
      </c>
      <c r="D161" s="2" t="s">
        <v>10</v>
      </c>
      <c r="E161" s="2">
        <v>8</v>
      </c>
      <c r="F161" s="2">
        <v>16457.84</v>
      </c>
      <c r="G161" s="2"/>
      <c r="I161" s="2" t="s">
        <v>123</v>
      </c>
      <c r="J161" t="str">
        <f t="shared" si="3"/>
        <v>28/05/2025</v>
      </c>
    </row>
    <row r="162" spans="1:10">
      <c r="A162" s="2" t="s">
        <v>120</v>
      </c>
      <c r="B162" s="2" t="s">
        <v>129</v>
      </c>
      <c r="C162" s="2" t="s">
        <v>34</v>
      </c>
      <c r="D162" s="2" t="s">
        <v>14</v>
      </c>
      <c r="E162" s="2">
        <v>7</v>
      </c>
      <c r="F162" s="2">
        <v>191512.58</v>
      </c>
      <c r="G162" s="2" t="s">
        <v>11</v>
      </c>
      <c r="I162" s="2" t="s">
        <v>120</v>
      </c>
      <c r="J162" t="str">
        <f t="shared" si="3"/>
        <v>29/05/2025</v>
      </c>
    </row>
    <row r="163" spans="1:10">
      <c r="A163" s="2" t="s">
        <v>126</v>
      </c>
      <c r="B163" s="2" t="s">
        <v>130</v>
      </c>
      <c r="C163" s="2" t="s">
        <v>27</v>
      </c>
      <c r="D163" s="2" t="s">
        <v>10</v>
      </c>
      <c r="E163" s="2">
        <v>8</v>
      </c>
      <c r="F163" s="2">
        <v>11122.12</v>
      </c>
      <c r="G163" s="2" t="s">
        <v>21</v>
      </c>
      <c r="I163" s="2" t="s">
        <v>126</v>
      </c>
      <c r="J163" t="str">
        <f t="shared" si="3"/>
        <v>30/05/2025</v>
      </c>
    </row>
    <row r="164" spans="1:10">
      <c r="A164" s="2" t="s">
        <v>27</v>
      </c>
      <c r="B164" s="2" t="s">
        <v>28</v>
      </c>
      <c r="C164" s="2" t="s">
        <v>16</v>
      </c>
      <c r="D164" s="2" t="s">
        <v>10</v>
      </c>
      <c r="E164" s="2">
        <v>1</v>
      </c>
      <c r="F164" s="2">
        <v>11947.97</v>
      </c>
      <c r="G164" s="2" t="s">
        <v>29</v>
      </c>
      <c r="I164" s="2" t="s">
        <v>27</v>
      </c>
      <c r="J164" t="str">
        <f t="shared" si="3"/>
        <v>N/A</v>
      </c>
    </row>
    <row r="165" spans="1:10">
      <c r="A165" s="2" t="s">
        <v>27</v>
      </c>
      <c r="B165" s="2" t="s">
        <v>8</v>
      </c>
      <c r="C165" s="2" t="s">
        <v>31</v>
      </c>
      <c r="D165" s="2" t="s">
        <v>20</v>
      </c>
      <c r="E165" s="2">
        <v>2</v>
      </c>
      <c r="F165" s="2">
        <v>39039.25</v>
      </c>
      <c r="G165" s="2"/>
      <c r="I165" s="2" t="s">
        <v>27</v>
      </c>
      <c r="J165" t="str">
        <f t="shared" si="3"/>
        <v>N/A</v>
      </c>
    </row>
    <row r="166" spans="1:10">
      <c r="A166" s="2" t="s">
        <v>27</v>
      </c>
      <c r="B166" s="2" t="s">
        <v>129</v>
      </c>
      <c r="C166" s="2" t="s">
        <v>26</v>
      </c>
      <c r="D166" s="2" t="s">
        <v>10</v>
      </c>
      <c r="E166" s="2">
        <v>2</v>
      </c>
      <c r="F166" s="2">
        <v>15076.76</v>
      </c>
      <c r="G166" s="2" t="s">
        <v>17</v>
      </c>
      <c r="I166" s="2" t="s">
        <v>27</v>
      </c>
      <c r="J166" t="str">
        <f t="shared" si="3"/>
        <v>N/A</v>
      </c>
    </row>
    <row r="167" spans="1:10">
      <c r="A167" s="2" t="s">
        <v>27</v>
      </c>
      <c r="B167" s="2" t="s">
        <v>128</v>
      </c>
      <c r="C167" s="2" t="s">
        <v>16</v>
      </c>
      <c r="D167" s="2" t="s">
        <v>10</v>
      </c>
      <c r="E167" s="2">
        <v>8</v>
      </c>
      <c r="F167" s="2">
        <v>10406.06</v>
      </c>
      <c r="G167" s="2" t="s">
        <v>17</v>
      </c>
      <c r="I167" s="2" t="s">
        <v>27</v>
      </c>
      <c r="J167" t="str">
        <f t="shared" si="3"/>
        <v>N/A</v>
      </c>
    </row>
    <row r="168" spans="1:10">
      <c r="A168" s="2" t="s">
        <v>27</v>
      </c>
      <c r="B168" s="2" t="s">
        <v>40</v>
      </c>
      <c r="C168" s="2" t="s">
        <v>26</v>
      </c>
      <c r="D168" s="2" t="s">
        <v>10</v>
      </c>
      <c r="E168" s="2">
        <v>9</v>
      </c>
      <c r="F168" s="2">
        <v>14251.31</v>
      </c>
      <c r="G168" s="2" t="s">
        <v>29</v>
      </c>
      <c r="I168" s="2" t="s">
        <v>27</v>
      </c>
      <c r="J168" t="str">
        <f t="shared" si="3"/>
        <v>N/A</v>
      </c>
    </row>
    <row r="169" spans="1:10">
      <c r="A169" s="2" t="s">
        <v>27</v>
      </c>
      <c r="B169" s="2" t="s">
        <v>127</v>
      </c>
      <c r="C169" s="2" t="s">
        <v>9</v>
      </c>
      <c r="D169" s="2" t="s">
        <v>10</v>
      </c>
      <c r="E169" s="2">
        <v>5</v>
      </c>
      <c r="F169" s="2">
        <v>7279.27</v>
      </c>
      <c r="G169" s="2" t="s">
        <v>43</v>
      </c>
      <c r="I169" s="2" t="s">
        <v>27</v>
      </c>
      <c r="J169" t="str">
        <f t="shared" si="3"/>
        <v>N/A</v>
      </c>
    </row>
    <row r="170" spans="1:10">
      <c r="A170" s="2" t="s">
        <v>27</v>
      </c>
      <c r="B170" s="2" t="s">
        <v>127</v>
      </c>
      <c r="C170" s="2" t="s">
        <v>36</v>
      </c>
      <c r="D170" s="2" t="s">
        <v>14</v>
      </c>
      <c r="E170" s="2">
        <v>1</v>
      </c>
      <c r="F170" s="2">
        <v>357955</v>
      </c>
      <c r="G170" s="2" t="s">
        <v>23</v>
      </c>
      <c r="I170" s="2" t="s">
        <v>27</v>
      </c>
      <c r="J170" t="str">
        <f t="shared" si="3"/>
        <v>N/A</v>
      </c>
    </row>
    <row r="171" spans="1:10">
      <c r="A171" s="2" t="s">
        <v>27</v>
      </c>
      <c r="B171" s="2" t="s">
        <v>131</v>
      </c>
      <c r="C171" s="2" t="s">
        <v>26</v>
      </c>
      <c r="D171" s="2" t="s">
        <v>10</v>
      </c>
      <c r="E171" s="2">
        <v>8</v>
      </c>
      <c r="F171" s="2">
        <v>14002.03</v>
      </c>
      <c r="G171" s="2" t="s">
        <v>11</v>
      </c>
      <c r="I171" s="2" t="s">
        <v>27</v>
      </c>
      <c r="J171" t="str">
        <f t="shared" si="3"/>
        <v>N/A</v>
      </c>
    </row>
    <row r="172" spans="1:10">
      <c r="A172" s="2" t="s">
        <v>27</v>
      </c>
      <c r="B172" s="2" t="s">
        <v>8</v>
      </c>
      <c r="C172" s="2" t="s">
        <v>27</v>
      </c>
      <c r="D172" s="2" t="s">
        <v>10</v>
      </c>
      <c r="E172" s="2">
        <v>10</v>
      </c>
      <c r="F172" s="2">
        <v>7374.96</v>
      </c>
      <c r="G172" s="2" t="s">
        <v>29</v>
      </c>
      <c r="I172" s="2" t="s">
        <v>27</v>
      </c>
      <c r="J172" t="str">
        <f t="shared" si="3"/>
        <v>N/A</v>
      </c>
    </row>
    <row r="173" spans="1:10">
      <c r="A173" s="2" t="s">
        <v>27</v>
      </c>
      <c r="B173" s="2" t="s">
        <v>129</v>
      </c>
      <c r="C173" s="2" t="s">
        <v>13</v>
      </c>
      <c r="D173" s="2" t="s">
        <v>14</v>
      </c>
      <c r="E173" s="2">
        <v>5</v>
      </c>
      <c r="F173" s="2">
        <v>93671.11</v>
      </c>
      <c r="G173" s="2"/>
      <c r="I173" s="2" t="s">
        <v>27</v>
      </c>
      <c r="J173" t="str">
        <f t="shared" si="3"/>
        <v>N/A</v>
      </c>
    </row>
    <row r="174" spans="1:10">
      <c r="A174" s="2" t="s">
        <v>27</v>
      </c>
      <c r="B174" s="2" t="s">
        <v>129</v>
      </c>
      <c r="C174" s="2" t="s">
        <v>36</v>
      </c>
      <c r="D174" s="2" t="s">
        <v>14</v>
      </c>
      <c r="E174" s="2">
        <v>0</v>
      </c>
      <c r="F174" s="2">
        <v>308409.15000000002</v>
      </c>
      <c r="G174" s="2" t="s">
        <v>43</v>
      </c>
      <c r="I174" s="2" t="s">
        <v>27</v>
      </c>
      <c r="J174" t="str">
        <f t="shared" si="3"/>
        <v>N/A</v>
      </c>
    </row>
    <row r="175" spans="1:10">
      <c r="A175" s="2" t="s">
        <v>27</v>
      </c>
      <c r="B175" s="2" t="s">
        <v>28</v>
      </c>
      <c r="C175" s="2" t="s">
        <v>27</v>
      </c>
      <c r="D175" s="2" t="s">
        <v>14</v>
      </c>
      <c r="E175" s="2">
        <v>4</v>
      </c>
      <c r="F175" s="2"/>
      <c r="G175" s="2" t="s">
        <v>43</v>
      </c>
      <c r="I175" s="2" t="s">
        <v>27</v>
      </c>
      <c r="J175" t="str">
        <f t="shared" si="3"/>
        <v>N/A</v>
      </c>
    </row>
    <row r="176" spans="1:10">
      <c r="A176" s="2" t="s">
        <v>27</v>
      </c>
      <c r="B176" s="2" t="s">
        <v>128</v>
      </c>
      <c r="C176" s="2" t="s">
        <v>9</v>
      </c>
      <c r="D176" s="2" t="s">
        <v>10</v>
      </c>
      <c r="E176" s="2">
        <v>4</v>
      </c>
      <c r="F176" s="2"/>
      <c r="G176" s="2" t="s">
        <v>23</v>
      </c>
      <c r="I176" s="2" t="s">
        <v>27</v>
      </c>
      <c r="J176" t="str">
        <f t="shared" si="3"/>
        <v>N/A</v>
      </c>
    </row>
    <row r="177" spans="1:10">
      <c r="A177" s="2" t="s">
        <v>27</v>
      </c>
      <c r="B177" s="2" t="s">
        <v>129</v>
      </c>
      <c r="C177" s="2" t="s">
        <v>26</v>
      </c>
      <c r="D177" s="2" t="s">
        <v>10</v>
      </c>
      <c r="E177" s="2">
        <v>5</v>
      </c>
      <c r="F177" s="2">
        <v>14746.09</v>
      </c>
      <c r="G177" s="2" t="s">
        <v>32</v>
      </c>
      <c r="I177" s="2" t="s">
        <v>27</v>
      </c>
      <c r="J177" t="str">
        <f t="shared" si="3"/>
        <v>N/A</v>
      </c>
    </row>
    <row r="178" spans="1:10">
      <c r="A178" s="2" t="s">
        <v>27</v>
      </c>
      <c r="B178" s="2" t="s">
        <v>40</v>
      </c>
      <c r="C178" s="2" t="s">
        <v>36</v>
      </c>
      <c r="D178" s="2" t="s">
        <v>14</v>
      </c>
      <c r="E178" s="2">
        <v>2</v>
      </c>
      <c r="F178" s="2"/>
      <c r="G178" s="2" t="s">
        <v>29</v>
      </c>
      <c r="I178" s="2" t="s">
        <v>27</v>
      </c>
      <c r="J178" t="str">
        <f t="shared" si="3"/>
        <v>N/A</v>
      </c>
    </row>
    <row r="179" spans="1:10">
      <c r="A179" s="2" t="s">
        <v>27</v>
      </c>
      <c r="B179" s="2" t="s">
        <v>130</v>
      </c>
      <c r="C179" s="2" t="s">
        <v>19</v>
      </c>
      <c r="D179" s="2" t="s">
        <v>20</v>
      </c>
      <c r="E179" s="2">
        <v>1</v>
      </c>
      <c r="F179" s="2">
        <v>68379.14</v>
      </c>
      <c r="G179" s="2" t="s">
        <v>43</v>
      </c>
      <c r="I179" s="2" t="s">
        <v>27</v>
      </c>
      <c r="J179" t="str">
        <f t="shared" si="3"/>
        <v>N/A</v>
      </c>
    </row>
    <row r="180" spans="1:10">
      <c r="A180" s="2" t="s">
        <v>27</v>
      </c>
      <c r="B180" s="2" t="s">
        <v>8</v>
      </c>
      <c r="C180" s="2" t="s">
        <v>31</v>
      </c>
      <c r="D180" s="2" t="s">
        <v>20</v>
      </c>
      <c r="E180" s="2">
        <v>9</v>
      </c>
      <c r="F180" s="2">
        <v>48615.06</v>
      </c>
      <c r="G180" s="2" t="s">
        <v>29</v>
      </c>
      <c r="I180" s="2" t="s">
        <v>27</v>
      </c>
      <c r="J180" t="str">
        <f t="shared" si="3"/>
        <v>N/A</v>
      </c>
    </row>
    <row r="181" spans="1:10">
      <c r="A181" s="2" t="s">
        <v>27</v>
      </c>
      <c r="B181" s="2" t="s">
        <v>127</v>
      </c>
      <c r="C181" s="2" t="s">
        <v>9</v>
      </c>
      <c r="D181" s="2" t="s">
        <v>10</v>
      </c>
      <c r="E181" s="2">
        <v>1</v>
      </c>
      <c r="F181" s="2">
        <v>8182.45</v>
      </c>
      <c r="G181" s="2" t="s">
        <v>11</v>
      </c>
      <c r="I181" s="2" t="s">
        <v>27</v>
      </c>
      <c r="J181" t="str">
        <f t="shared" si="3"/>
        <v>N/A</v>
      </c>
    </row>
    <row r="182" spans="1:10">
      <c r="A182" s="2" t="s">
        <v>27</v>
      </c>
      <c r="B182" s="2" t="s">
        <v>129</v>
      </c>
      <c r="C182" s="2" t="s">
        <v>16</v>
      </c>
      <c r="D182" s="2" t="s">
        <v>10</v>
      </c>
      <c r="E182" s="2">
        <v>9</v>
      </c>
      <c r="F182" s="2"/>
      <c r="G182" s="2" t="s">
        <v>11</v>
      </c>
      <c r="I182" s="2" t="s">
        <v>27</v>
      </c>
      <c r="J182" t="str">
        <f t="shared" si="3"/>
        <v>N/A</v>
      </c>
    </row>
    <row r="183" spans="1:10">
      <c r="A183" s="2" t="s">
        <v>27</v>
      </c>
      <c r="B183" s="2" t="s">
        <v>130</v>
      </c>
      <c r="C183" s="2" t="s">
        <v>27</v>
      </c>
      <c r="D183" s="2" t="s">
        <v>14</v>
      </c>
      <c r="E183" s="2">
        <v>10</v>
      </c>
      <c r="F183" s="2">
        <v>174464.25</v>
      </c>
      <c r="G183" s="2" t="s">
        <v>23</v>
      </c>
      <c r="I183" s="2" t="s">
        <v>27</v>
      </c>
      <c r="J183" t="str">
        <f t="shared" si="3"/>
        <v>N/A</v>
      </c>
    </row>
    <row r="184" spans="1:10">
      <c r="A184" s="2" t="s">
        <v>27</v>
      </c>
      <c r="B184" s="2" t="s">
        <v>40</v>
      </c>
      <c r="C184" s="2" t="s">
        <v>36</v>
      </c>
      <c r="D184" s="2" t="s">
        <v>14</v>
      </c>
      <c r="E184" s="2">
        <v>7</v>
      </c>
      <c r="F184" s="2">
        <v>368064.54</v>
      </c>
      <c r="G184" s="2" t="s">
        <v>11</v>
      </c>
      <c r="I184" s="2" t="s">
        <v>27</v>
      </c>
      <c r="J184" t="str">
        <f t="shared" si="3"/>
        <v>N/A</v>
      </c>
    </row>
    <row r="185" spans="1:10">
      <c r="A185" s="2" t="s">
        <v>27</v>
      </c>
      <c r="B185" s="2" t="s">
        <v>28</v>
      </c>
      <c r="C185" s="2" t="s">
        <v>31</v>
      </c>
      <c r="D185" s="2" t="s">
        <v>20</v>
      </c>
      <c r="E185" s="2">
        <v>4</v>
      </c>
      <c r="F185" s="2">
        <v>42276.15</v>
      </c>
      <c r="G185" s="2" t="s">
        <v>17</v>
      </c>
      <c r="I185" s="2" t="s">
        <v>27</v>
      </c>
      <c r="J185" t="str">
        <f t="shared" si="3"/>
        <v>N/A</v>
      </c>
    </row>
    <row r="186" spans="1:10">
      <c r="A186" s="2" t="s">
        <v>27</v>
      </c>
      <c r="B186" s="2" t="s">
        <v>28</v>
      </c>
      <c r="C186" s="2" t="s">
        <v>36</v>
      </c>
      <c r="D186" s="2" t="s">
        <v>14</v>
      </c>
      <c r="E186" s="2">
        <v>5</v>
      </c>
      <c r="F186" s="2">
        <v>313046.23</v>
      </c>
      <c r="G186" s="2" t="s">
        <v>32</v>
      </c>
      <c r="I186" s="2" t="s">
        <v>27</v>
      </c>
      <c r="J186" t="str">
        <f t="shared" si="3"/>
        <v>N/A</v>
      </c>
    </row>
    <row r="187" spans="1:10">
      <c r="A187" s="2" t="s">
        <v>27</v>
      </c>
      <c r="B187" s="2" t="s">
        <v>40</v>
      </c>
      <c r="C187" s="2" t="s">
        <v>26</v>
      </c>
      <c r="D187" s="2" t="s">
        <v>10</v>
      </c>
      <c r="E187" s="2">
        <v>10</v>
      </c>
      <c r="F187" s="2">
        <v>15333.05</v>
      </c>
      <c r="G187" s="2" t="s">
        <v>32</v>
      </c>
      <c r="I187" s="2" t="s">
        <v>27</v>
      </c>
      <c r="J187" t="str">
        <f t="shared" si="3"/>
        <v>N/A</v>
      </c>
    </row>
    <row r="188" spans="1:10">
      <c r="A188" s="2" t="s">
        <v>27</v>
      </c>
      <c r="B188" s="2" t="s">
        <v>129</v>
      </c>
      <c r="C188" s="2" t="s">
        <v>31</v>
      </c>
      <c r="D188" s="2" t="s">
        <v>20</v>
      </c>
      <c r="E188" s="2">
        <v>5</v>
      </c>
      <c r="F188" s="2">
        <v>45084.14</v>
      </c>
      <c r="G188" s="2" t="s">
        <v>32</v>
      </c>
      <c r="I188" s="2" t="s">
        <v>27</v>
      </c>
      <c r="J188" t="str">
        <f t="shared" si="3"/>
        <v>N/A</v>
      </c>
    </row>
    <row r="189" spans="1:10">
      <c r="A189" s="2" t="s">
        <v>27</v>
      </c>
      <c r="B189" s="2" t="s">
        <v>131</v>
      </c>
      <c r="C189" s="2" t="s">
        <v>26</v>
      </c>
      <c r="D189" s="2" t="s">
        <v>10</v>
      </c>
      <c r="E189" s="2">
        <v>10</v>
      </c>
      <c r="F189" s="2">
        <v>16675.310000000001</v>
      </c>
      <c r="G189" s="2" t="s">
        <v>32</v>
      </c>
      <c r="I189" s="2" t="s">
        <v>27</v>
      </c>
      <c r="J189" t="str">
        <f t="shared" si="3"/>
        <v>N/A</v>
      </c>
    </row>
    <row r="190" spans="1:10">
      <c r="A190" s="2" t="s">
        <v>27</v>
      </c>
      <c r="B190" s="2" t="s">
        <v>8</v>
      </c>
      <c r="C190" s="2" t="s">
        <v>9</v>
      </c>
      <c r="D190" s="2" t="s">
        <v>10</v>
      </c>
      <c r="E190" s="2">
        <v>3</v>
      </c>
      <c r="F190" s="2"/>
      <c r="G190" s="2" t="s">
        <v>23</v>
      </c>
      <c r="I190" s="2" t="s">
        <v>27</v>
      </c>
      <c r="J190" t="str">
        <f t="shared" si="3"/>
        <v>N/A</v>
      </c>
    </row>
    <row r="191" spans="1:10">
      <c r="A191" s="2" t="s">
        <v>27</v>
      </c>
      <c r="B191" s="2" t="s">
        <v>127</v>
      </c>
      <c r="C191" s="2" t="s">
        <v>16</v>
      </c>
      <c r="D191" s="2" t="s">
        <v>10</v>
      </c>
      <c r="E191" s="2">
        <v>10</v>
      </c>
      <c r="F191" s="2">
        <v>12990.1</v>
      </c>
      <c r="G191" s="2" t="s">
        <v>32</v>
      </c>
      <c r="I191" s="2" t="s">
        <v>27</v>
      </c>
      <c r="J191" t="str">
        <f t="shared" si="3"/>
        <v>N/A</v>
      </c>
    </row>
    <row r="192" spans="1:10">
      <c r="A192" s="2" t="s">
        <v>27</v>
      </c>
      <c r="B192" s="2" t="s">
        <v>129</v>
      </c>
      <c r="C192" s="2" t="s">
        <v>31</v>
      </c>
      <c r="D192" s="2" t="s">
        <v>20</v>
      </c>
      <c r="E192" s="2">
        <v>4</v>
      </c>
      <c r="F192" s="2">
        <v>38345.57</v>
      </c>
      <c r="G192" s="2" t="s">
        <v>32</v>
      </c>
      <c r="I192" s="2" t="s">
        <v>27</v>
      </c>
      <c r="J192" t="str">
        <f t="shared" si="3"/>
        <v>N/A</v>
      </c>
    </row>
    <row r="193" spans="1:10">
      <c r="A193" s="2" t="s">
        <v>27</v>
      </c>
      <c r="B193" s="2" t="s">
        <v>128</v>
      </c>
      <c r="C193" s="2" t="s">
        <v>34</v>
      </c>
      <c r="D193" s="2" t="s">
        <v>14</v>
      </c>
      <c r="E193" s="2">
        <v>5</v>
      </c>
      <c r="F193" s="2">
        <v>162828.26999999999</v>
      </c>
      <c r="G193" s="2" t="s">
        <v>32</v>
      </c>
      <c r="I193" s="2" t="s">
        <v>27</v>
      </c>
      <c r="J193" t="str">
        <f t="shared" si="3"/>
        <v>N/A</v>
      </c>
    </row>
    <row r="194" spans="1:10">
      <c r="A194" s="2" t="s">
        <v>27</v>
      </c>
      <c r="B194" s="2" t="s">
        <v>131</v>
      </c>
      <c r="C194" s="2" t="s">
        <v>19</v>
      </c>
      <c r="D194" s="2" t="s">
        <v>20</v>
      </c>
      <c r="E194" s="2">
        <v>2</v>
      </c>
      <c r="F194" s="2">
        <v>73330.59</v>
      </c>
      <c r="G194" s="2" t="s">
        <v>11</v>
      </c>
      <c r="I194" s="2" t="s">
        <v>27</v>
      </c>
      <c r="J194" t="str">
        <f t="shared" si="3"/>
        <v>N/A</v>
      </c>
    </row>
    <row r="195" spans="1:10">
      <c r="A195" s="2" t="s">
        <v>27</v>
      </c>
      <c r="B195" s="2" t="s">
        <v>40</v>
      </c>
      <c r="C195" s="2" t="s">
        <v>19</v>
      </c>
      <c r="D195" s="2" t="s">
        <v>20</v>
      </c>
      <c r="E195" s="2">
        <v>4</v>
      </c>
      <c r="F195" s="2">
        <v>72885.58</v>
      </c>
      <c r="G195" s="2" t="s">
        <v>21</v>
      </c>
      <c r="I195" s="2" t="s">
        <v>27</v>
      </c>
      <c r="J195" t="str">
        <f t="shared" si="3"/>
        <v>N/A</v>
      </c>
    </row>
    <row r="196" spans="1:10">
      <c r="A196" s="2" t="s">
        <v>27</v>
      </c>
      <c r="B196" s="2" t="s">
        <v>129</v>
      </c>
      <c r="C196" s="2" t="s">
        <v>31</v>
      </c>
      <c r="D196" s="2" t="s">
        <v>20</v>
      </c>
      <c r="E196" s="2">
        <v>10</v>
      </c>
      <c r="F196" s="2">
        <v>41015.83</v>
      </c>
      <c r="G196" s="2" t="s">
        <v>43</v>
      </c>
      <c r="I196" s="2" t="s">
        <v>27</v>
      </c>
      <c r="J196" t="str">
        <f t="shared" si="3"/>
        <v>N/A</v>
      </c>
    </row>
    <row r="197" spans="1:10">
      <c r="A197" s="2" t="s">
        <v>27</v>
      </c>
      <c r="B197" s="2" t="s">
        <v>40</v>
      </c>
      <c r="C197" s="2" t="s">
        <v>13</v>
      </c>
      <c r="D197" s="2" t="s">
        <v>14</v>
      </c>
      <c r="E197" s="2">
        <v>3</v>
      </c>
      <c r="F197" s="2">
        <v>89674.6</v>
      </c>
      <c r="G197" s="2"/>
      <c r="I197" s="2" t="s">
        <v>27</v>
      </c>
      <c r="J197" t="str">
        <f t="shared" si="3"/>
        <v>N/A</v>
      </c>
    </row>
    <row r="198" spans="1:10">
      <c r="A198" s="2" t="s">
        <v>27</v>
      </c>
      <c r="B198" s="2" t="s">
        <v>28</v>
      </c>
      <c r="C198" s="2" t="s">
        <v>9</v>
      </c>
      <c r="D198" s="2" t="s">
        <v>10</v>
      </c>
      <c r="E198" s="2">
        <v>3</v>
      </c>
      <c r="F198" s="2">
        <v>7618.03</v>
      </c>
      <c r="G198" s="2"/>
      <c r="I198" s="2" t="s">
        <v>27</v>
      </c>
      <c r="J198" t="str">
        <f t="shared" si="3"/>
        <v>N/A</v>
      </c>
    </row>
    <row r="199" spans="1:10">
      <c r="A199" s="2" t="s">
        <v>27</v>
      </c>
      <c r="B199" s="2" t="s">
        <v>40</v>
      </c>
      <c r="C199" s="2" t="s">
        <v>13</v>
      </c>
      <c r="D199" s="2" t="s">
        <v>14</v>
      </c>
      <c r="E199" s="2">
        <v>2</v>
      </c>
      <c r="F199" s="2"/>
      <c r="G199" s="2" t="s">
        <v>21</v>
      </c>
      <c r="I199" s="2" t="s">
        <v>27</v>
      </c>
      <c r="J199" t="str">
        <f t="shared" si="3"/>
        <v>N/A</v>
      </c>
    </row>
    <row r="200" spans="1:10">
      <c r="A200" s="2" t="s">
        <v>27</v>
      </c>
      <c r="B200" s="2" t="s">
        <v>8</v>
      </c>
      <c r="C200" s="2" t="s">
        <v>26</v>
      </c>
      <c r="D200" s="2" t="s">
        <v>10</v>
      </c>
      <c r="E200" s="2">
        <v>10</v>
      </c>
      <c r="F200" s="2"/>
      <c r="G200" s="2" t="s">
        <v>23</v>
      </c>
      <c r="I200" s="2" t="s">
        <v>27</v>
      </c>
      <c r="J200" t="str">
        <f t="shared" si="3"/>
        <v>N/A</v>
      </c>
    </row>
    <row r="201" spans="1:10">
      <c r="A201" s="2" t="s">
        <v>27</v>
      </c>
      <c r="B201" s="2" t="s">
        <v>128</v>
      </c>
      <c r="C201" s="2" t="s">
        <v>16</v>
      </c>
      <c r="D201" s="2" t="s">
        <v>10</v>
      </c>
      <c r="E201" s="2">
        <v>-2</v>
      </c>
      <c r="F201" s="2">
        <v>13164.24</v>
      </c>
      <c r="G201" s="2"/>
      <c r="I201" s="2" t="s">
        <v>27</v>
      </c>
      <c r="J201" t="str">
        <f t="shared" si="3"/>
        <v>N/A</v>
      </c>
    </row>
  </sheetData>
  <sortState ref="A2:G201">
    <sortCondition ref="A1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4"/>
  <sheetViews>
    <sheetView workbookViewId="0">
      <selection activeCell="A4" sqref="A4"/>
    </sheetView>
  </sheetViews>
  <sheetFormatPr defaultRowHeight="14.5"/>
  <cols>
    <col min="1" max="1" width="12.36328125" bestFit="1" customWidth="1"/>
    <col min="2" max="2" width="16.08984375" bestFit="1" customWidth="1"/>
  </cols>
  <sheetData>
    <row r="3" spans="1:2">
      <c r="A3" s="9" t="s">
        <v>134</v>
      </c>
      <c r="B3" t="s">
        <v>133</v>
      </c>
    </row>
    <row r="4" spans="1:2">
      <c r="A4" s="10" t="s">
        <v>154</v>
      </c>
      <c r="B4" s="8">
        <v>111050.59999999999</v>
      </c>
    </row>
    <row r="5" spans="1:2">
      <c r="A5" s="10" t="s">
        <v>174</v>
      </c>
      <c r="B5" s="8">
        <v>47538.44</v>
      </c>
    </row>
    <row r="6" spans="1:2">
      <c r="A6" s="10" t="s">
        <v>194</v>
      </c>
      <c r="B6" s="8">
        <v>677359.69</v>
      </c>
    </row>
    <row r="7" spans="1:2">
      <c r="A7" s="10" t="s">
        <v>217</v>
      </c>
      <c r="B7" s="8">
        <v>702792.16</v>
      </c>
    </row>
    <row r="8" spans="1:2">
      <c r="A8" s="10" t="s">
        <v>155</v>
      </c>
      <c r="B8" s="8">
        <v>1019670.53</v>
      </c>
    </row>
    <row r="9" spans="1:2">
      <c r="A9" s="10" t="s">
        <v>156</v>
      </c>
      <c r="B9" s="8">
        <v>25926.94</v>
      </c>
    </row>
    <row r="10" spans="1:2">
      <c r="A10" s="10" t="s">
        <v>175</v>
      </c>
      <c r="B10" s="8">
        <v>29868.46</v>
      </c>
    </row>
    <row r="11" spans="1:2">
      <c r="A11" s="10" t="s">
        <v>195</v>
      </c>
      <c r="B11" s="8">
        <v>1227785.23</v>
      </c>
    </row>
    <row r="12" spans="1:2">
      <c r="A12" s="10" t="s">
        <v>218</v>
      </c>
      <c r="B12" s="8">
        <v>403473.04</v>
      </c>
    </row>
    <row r="13" spans="1:2">
      <c r="A13" s="10" t="s">
        <v>157</v>
      </c>
      <c r="B13" s="8">
        <v>152918.6</v>
      </c>
    </row>
    <row r="14" spans="1:2">
      <c r="A14" s="10" t="s">
        <v>176</v>
      </c>
      <c r="B14" s="8">
        <v>2084691.51</v>
      </c>
    </row>
    <row r="15" spans="1:2">
      <c r="A15" s="10" t="s">
        <v>196</v>
      </c>
      <c r="B15" s="8">
        <v>1317712.0299999998</v>
      </c>
    </row>
    <row r="16" spans="1:2">
      <c r="A16" s="10" t="s">
        <v>219</v>
      </c>
      <c r="B16" s="8">
        <v>0</v>
      </c>
    </row>
    <row r="17" spans="1:2">
      <c r="A17" s="10" t="s">
        <v>177</v>
      </c>
      <c r="B17" s="8">
        <v>15886.27</v>
      </c>
    </row>
    <row r="18" spans="1:2">
      <c r="A18" s="10" t="s">
        <v>137</v>
      </c>
      <c r="B18" s="8">
        <v>1020700.45</v>
      </c>
    </row>
    <row r="19" spans="1:2">
      <c r="A19" s="10" t="s">
        <v>197</v>
      </c>
      <c r="B19" s="8">
        <v>204651.58</v>
      </c>
    </row>
    <row r="20" spans="1:2">
      <c r="A20" s="10" t="s">
        <v>220</v>
      </c>
      <c r="B20" s="8">
        <v>7032.07</v>
      </c>
    </row>
    <row r="21" spans="1:2">
      <c r="A21" s="10" t="s">
        <v>138</v>
      </c>
      <c r="B21" s="8">
        <v>40799.800000000003</v>
      </c>
    </row>
    <row r="22" spans="1:2">
      <c r="A22" s="10" t="s">
        <v>158</v>
      </c>
      <c r="B22" s="8">
        <v>462861.29000000004</v>
      </c>
    </row>
    <row r="23" spans="1:2">
      <c r="A23" s="10" t="s">
        <v>198</v>
      </c>
      <c r="B23" s="8">
        <v>639365.01</v>
      </c>
    </row>
    <row r="24" spans="1:2">
      <c r="A24" s="10" t="s">
        <v>221</v>
      </c>
      <c r="B24" s="8">
        <v>82304.759999999995</v>
      </c>
    </row>
    <row r="25" spans="1:2">
      <c r="A25" s="10" t="s">
        <v>139</v>
      </c>
      <c r="B25" s="8">
        <v>139277.70000000001</v>
      </c>
    </row>
    <row r="26" spans="1:2">
      <c r="A26" s="10" t="s">
        <v>178</v>
      </c>
      <c r="B26" s="8">
        <v>0</v>
      </c>
    </row>
    <row r="27" spans="1:2">
      <c r="A27" s="10" t="s">
        <v>222</v>
      </c>
      <c r="B27" s="8">
        <v>45707.85</v>
      </c>
    </row>
    <row r="28" spans="1:2">
      <c r="A28" s="10" t="s">
        <v>159</v>
      </c>
      <c r="B28" s="8">
        <v>508241.06999999995</v>
      </c>
    </row>
    <row r="29" spans="1:2">
      <c r="A29" s="10" t="s">
        <v>179</v>
      </c>
      <c r="B29" s="8">
        <v>2467162.6</v>
      </c>
    </row>
    <row r="30" spans="1:2">
      <c r="A30" s="10" t="s">
        <v>199</v>
      </c>
      <c r="B30" s="8">
        <v>59528.590000000011</v>
      </c>
    </row>
    <row r="31" spans="1:2">
      <c r="A31" s="10" t="s">
        <v>223</v>
      </c>
      <c r="B31" s="8">
        <v>155796.68</v>
      </c>
    </row>
    <row r="32" spans="1:2">
      <c r="A32" s="10" t="s">
        <v>140</v>
      </c>
      <c r="B32" s="8">
        <v>137679.4</v>
      </c>
    </row>
    <row r="33" spans="1:2">
      <c r="A33" s="10" t="s">
        <v>160</v>
      </c>
      <c r="B33" s="8">
        <v>166196.28</v>
      </c>
    </row>
    <row r="34" spans="1:2">
      <c r="A34" s="10" t="s">
        <v>200</v>
      </c>
      <c r="B34" s="8">
        <v>19942.660000000003</v>
      </c>
    </row>
    <row r="35" spans="1:2">
      <c r="A35" s="10" t="s">
        <v>224</v>
      </c>
      <c r="B35" s="8">
        <v>903142.89999999991</v>
      </c>
    </row>
    <row r="36" spans="1:2">
      <c r="A36" s="10" t="s">
        <v>141</v>
      </c>
      <c r="B36" s="8">
        <v>12658.08</v>
      </c>
    </row>
    <row r="37" spans="1:2">
      <c r="A37" s="10" t="s">
        <v>161</v>
      </c>
      <c r="B37" s="8">
        <v>942674.32</v>
      </c>
    </row>
    <row r="38" spans="1:2">
      <c r="A38" s="10" t="s">
        <v>180</v>
      </c>
      <c r="B38" s="8">
        <v>0</v>
      </c>
    </row>
    <row r="39" spans="1:2">
      <c r="A39" s="10" t="s">
        <v>201</v>
      </c>
      <c r="B39" s="8">
        <v>1448193.32</v>
      </c>
    </row>
    <row r="40" spans="1:2">
      <c r="A40" s="10" t="s">
        <v>225</v>
      </c>
      <c r="B40" s="8">
        <v>249355.28999999998</v>
      </c>
    </row>
    <row r="41" spans="1:2">
      <c r="A41" s="10" t="s">
        <v>142</v>
      </c>
      <c r="B41" s="8">
        <v>0</v>
      </c>
    </row>
    <row r="42" spans="1:2">
      <c r="A42" s="10" t="s">
        <v>181</v>
      </c>
      <c r="B42" s="8">
        <v>2195543.1</v>
      </c>
    </row>
    <row r="43" spans="1:2">
      <c r="A43" s="10" t="s">
        <v>202</v>
      </c>
      <c r="B43" s="8">
        <v>430183.38</v>
      </c>
    </row>
    <row r="44" spans="1:2">
      <c r="A44" s="10" t="s">
        <v>226</v>
      </c>
      <c r="B44" s="8">
        <v>1122695.77</v>
      </c>
    </row>
    <row r="45" spans="1:2">
      <c r="A45" s="10" t="s">
        <v>143</v>
      </c>
      <c r="B45" s="8">
        <v>0</v>
      </c>
    </row>
    <row r="46" spans="1:2">
      <c r="A46" s="10" t="s">
        <v>162</v>
      </c>
      <c r="B46" s="8">
        <v>0</v>
      </c>
    </row>
    <row r="47" spans="1:2">
      <c r="A47" s="10" t="s">
        <v>182</v>
      </c>
      <c r="B47" s="8">
        <v>55199.22</v>
      </c>
    </row>
    <row r="48" spans="1:2">
      <c r="A48" s="10" t="s">
        <v>183</v>
      </c>
      <c r="B48" s="8">
        <v>0</v>
      </c>
    </row>
    <row r="49" spans="1:2">
      <c r="A49" s="10" t="s">
        <v>203</v>
      </c>
      <c r="B49" s="8">
        <v>-56834.900000000009</v>
      </c>
    </row>
    <row r="50" spans="1:2">
      <c r="A50" s="10" t="s">
        <v>144</v>
      </c>
      <c r="B50" s="8">
        <v>-104228.56000000001</v>
      </c>
    </row>
    <row r="51" spans="1:2">
      <c r="A51" s="10" t="s">
        <v>163</v>
      </c>
      <c r="B51" s="8">
        <v>44760.52</v>
      </c>
    </row>
    <row r="52" spans="1:2">
      <c r="A52" s="10" t="s">
        <v>184</v>
      </c>
      <c r="B52" s="8">
        <v>2779262.19</v>
      </c>
    </row>
    <row r="53" spans="1:2">
      <c r="A53" s="10" t="s">
        <v>204</v>
      </c>
      <c r="B53" s="8">
        <v>494908.5</v>
      </c>
    </row>
    <row r="54" spans="1:2">
      <c r="A54" s="10" t="s">
        <v>145</v>
      </c>
      <c r="B54" s="8">
        <v>92323.349999999991</v>
      </c>
    </row>
    <row r="55" spans="1:2">
      <c r="A55" s="10" t="s">
        <v>164</v>
      </c>
      <c r="B55" s="8">
        <v>199156.96</v>
      </c>
    </row>
    <row r="56" spans="1:2">
      <c r="A56" s="10" t="s">
        <v>185</v>
      </c>
      <c r="B56" s="8">
        <v>0</v>
      </c>
    </row>
    <row r="57" spans="1:2">
      <c r="A57" s="10" t="s">
        <v>205</v>
      </c>
      <c r="B57" s="8">
        <v>634928.16</v>
      </c>
    </row>
    <row r="58" spans="1:2">
      <c r="A58" s="10" t="s">
        <v>227</v>
      </c>
      <c r="B58" s="8">
        <v>99629.32</v>
      </c>
    </row>
    <row r="59" spans="1:2">
      <c r="A59" s="10" t="s">
        <v>206</v>
      </c>
      <c r="B59" s="8">
        <v>108357.95</v>
      </c>
    </row>
    <row r="60" spans="1:2">
      <c r="A60" s="10" t="s">
        <v>228</v>
      </c>
      <c r="B60" s="8">
        <v>1223960.77</v>
      </c>
    </row>
    <row r="61" spans="1:2">
      <c r="A61" s="10" t="s">
        <v>146</v>
      </c>
      <c r="B61" s="8">
        <v>450066.38</v>
      </c>
    </row>
    <row r="62" spans="1:2">
      <c r="A62" s="10" t="s">
        <v>165</v>
      </c>
      <c r="B62" s="8">
        <v>1653946.2499999998</v>
      </c>
    </row>
    <row r="63" spans="1:2">
      <c r="A63" s="10" t="s">
        <v>186</v>
      </c>
      <c r="B63" s="8">
        <v>157206.39000000001</v>
      </c>
    </row>
    <row r="64" spans="1:2">
      <c r="A64" s="10" t="s">
        <v>207</v>
      </c>
      <c r="B64" s="8">
        <v>0</v>
      </c>
    </row>
    <row r="65" spans="1:2">
      <c r="A65" s="10" t="s">
        <v>229</v>
      </c>
      <c r="B65" s="8">
        <v>0</v>
      </c>
    </row>
    <row r="66" spans="1:2">
      <c r="A66" s="10" t="s">
        <v>147</v>
      </c>
      <c r="B66" s="8">
        <v>84762.05</v>
      </c>
    </row>
    <row r="67" spans="1:2">
      <c r="A67" s="10" t="s">
        <v>230</v>
      </c>
      <c r="B67" s="8">
        <v>128227.23999999999</v>
      </c>
    </row>
    <row r="68" spans="1:2">
      <c r="A68" s="10" t="s">
        <v>166</v>
      </c>
      <c r="B68" s="8">
        <v>0</v>
      </c>
    </row>
    <row r="69" spans="1:2">
      <c r="A69" s="10" t="s">
        <v>187</v>
      </c>
      <c r="B69" s="8">
        <v>1049151.46</v>
      </c>
    </row>
    <row r="70" spans="1:2">
      <c r="A70" s="10" t="s">
        <v>208</v>
      </c>
      <c r="B70" s="8">
        <v>0</v>
      </c>
    </row>
    <row r="71" spans="1:2">
      <c r="A71" s="10" t="s">
        <v>167</v>
      </c>
      <c r="B71" s="8">
        <v>0</v>
      </c>
    </row>
    <row r="72" spans="1:2">
      <c r="A72" s="10" t="s">
        <v>209</v>
      </c>
      <c r="B72" s="8">
        <v>435820.84</v>
      </c>
    </row>
    <row r="73" spans="1:2">
      <c r="A73" s="10" t="s">
        <v>148</v>
      </c>
      <c r="B73" s="8">
        <v>2540911.54</v>
      </c>
    </row>
    <row r="74" spans="1:2">
      <c r="A74" s="10" t="s">
        <v>168</v>
      </c>
      <c r="B74" s="8">
        <v>94611.090000000011</v>
      </c>
    </row>
    <row r="75" spans="1:2">
      <c r="A75" s="10" t="s">
        <v>188</v>
      </c>
      <c r="B75" s="8">
        <v>2179521.9</v>
      </c>
    </row>
    <row r="76" spans="1:2">
      <c r="A76" s="10" t="s">
        <v>210</v>
      </c>
      <c r="B76" s="8">
        <v>59539.199999999997</v>
      </c>
    </row>
    <row r="77" spans="1:2">
      <c r="A77" s="10" t="s">
        <v>149</v>
      </c>
      <c r="B77" s="8">
        <v>398228.15</v>
      </c>
    </row>
    <row r="78" spans="1:2">
      <c r="A78" s="10" t="s">
        <v>169</v>
      </c>
      <c r="B78" s="8">
        <v>324214.65999999997</v>
      </c>
    </row>
    <row r="79" spans="1:2">
      <c r="A79" s="10" t="s">
        <v>189</v>
      </c>
      <c r="B79" s="8">
        <v>9102.31</v>
      </c>
    </row>
    <row r="80" spans="1:2">
      <c r="A80" s="10" t="s">
        <v>211</v>
      </c>
      <c r="B80" s="8">
        <v>0</v>
      </c>
    </row>
    <row r="81" spans="1:2">
      <c r="A81" s="10" t="s">
        <v>231</v>
      </c>
      <c r="B81" s="8">
        <v>5105848.3500000006</v>
      </c>
    </row>
    <row r="82" spans="1:2">
      <c r="A82" s="10" t="s">
        <v>150</v>
      </c>
      <c r="B82" s="8">
        <v>118989.42</v>
      </c>
    </row>
    <row r="83" spans="1:2">
      <c r="A83" s="10" t="s">
        <v>170</v>
      </c>
      <c r="B83" s="8">
        <v>566108.27</v>
      </c>
    </row>
    <row r="84" spans="1:2">
      <c r="A84" s="10" t="s">
        <v>190</v>
      </c>
      <c r="B84" s="8">
        <v>0</v>
      </c>
    </row>
    <row r="85" spans="1:2">
      <c r="A85" s="10" t="s">
        <v>212</v>
      </c>
      <c r="B85" s="8">
        <v>0</v>
      </c>
    </row>
    <row r="86" spans="1:2">
      <c r="A86" s="10" t="s">
        <v>232</v>
      </c>
      <c r="B86" s="8">
        <v>252779</v>
      </c>
    </row>
    <row r="87" spans="1:2">
      <c r="A87" s="10" t="s">
        <v>171</v>
      </c>
      <c r="B87" s="8">
        <v>213214.96</v>
      </c>
    </row>
    <row r="88" spans="1:2">
      <c r="A88" s="10" t="s">
        <v>213</v>
      </c>
      <c r="B88" s="8">
        <v>305198.04000000004</v>
      </c>
    </row>
    <row r="89" spans="1:2">
      <c r="A89" s="10" t="s">
        <v>172</v>
      </c>
      <c r="B89" s="8">
        <v>15976.72</v>
      </c>
    </row>
    <row r="90" spans="1:2">
      <c r="A90" s="10" t="s">
        <v>191</v>
      </c>
      <c r="B90" s="8">
        <v>44344.76</v>
      </c>
    </row>
    <row r="91" spans="1:2">
      <c r="A91" s="10" t="s">
        <v>214</v>
      </c>
      <c r="B91" s="8">
        <v>1048544.1599999999</v>
      </c>
    </row>
    <row r="92" spans="1:2">
      <c r="A92" s="10" t="s">
        <v>151</v>
      </c>
      <c r="B92" s="8">
        <v>2554137.3600000003</v>
      </c>
    </row>
    <row r="93" spans="1:2">
      <c r="A93" s="10" t="s">
        <v>173</v>
      </c>
      <c r="B93" s="8">
        <v>0</v>
      </c>
    </row>
    <row r="94" spans="1:2">
      <c r="A94" s="10" t="s">
        <v>215</v>
      </c>
      <c r="B94" s="8">
        <v>0</v>
      </c>
    </row>
    <row r="95" spans="1:2">
      <c r="A95" s="10" t="s">
        <v>233</v>
      </c>
      <c r="B95" s="8">
        <v>131662.72</v>
      </c>
    </row>
    <row r="96" spans="1:2">
      <c r="A96" s="10" t="s">
        <v>192</v>
      </c>
      <c r="B96" s="8">
        <v>1031127.78</v>
      </c>
    </row>
    <row r="97" spans="1:2">
      <c r="A97" s="10" t="s">
        <v>216</v>
      </c>
      <c r="B97" s="8">
        <v>668746.04999999993</v>
      </c>
    </row>
    <row r="98" spans="1:2">
      <c r="A98" s="10" t="s">
        <v>234</v>
      </c>
      <c r="B98" s="8">
        <v>1340588.0599999998</v>
      </c>
    </row>
    <row r="99" spans="1:2">
      <c r="A99" s="10" t="s">
        <v>152</v>
      </c>
      <c r="B99" s="8">
        <v>1253113.4000000001</v>
      </c>
    </row>
    <row r="100" spans="1:2">
      <c r="A100" s="10" t="s">
        <v>193</v>
      </c>
      <c r="B100" s="8">
        <v>196820.32</v>
      </c>
    </row>
    <row r="101" spans="1:2">
      <c r="A101" s="10" t="s">
        <v>235</v>
      </c>
      <c r="B101" s="8">
        <v>88976.960000000006</v>
      </c>
    </row>
    <row r="102" spans="1:2">
      <c r="A102" s="10" t="s">
        <v>153</v>
      </c>
      <c r="B102" s="8">
        <v>1918198.65</v>
      </c>
    </row>
    <row r="103" spans="1:2">
      <c r="A103" s="10" t="s">
        <v>27</v>
      </c>
      <c r="B103" s="8">
        <v>10780260.749999998</v>
      </c>
    </row>
    <row r="104" spans="1:2">
      <c r="A104" s="10" t="s">
        <v>135</v>
      </c>
      <c r="B104" s="8">
        <v>64049736.119999997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Views>
    <sheetView workbookViewId="0">
      <selection activeCell="B2" sqref="B2"/>
    </sheetView>
  </sheetViews>
  <sheetFormatPr defaultRowHeight="14.5"/>
  <cols>
    <col min="1" max="2" width="11.90625" customWidth="1"/>
    <col min="3" max="3" width="11.6328125" customWidth="1"/>
    <col min="4" max="4" width="13" style="6" customWidth="1"/>
    <col min="5" max="5" width="14.36328125" style="6" customWidth="1"/>
    <col min="6" max="6" width="12.6328125" bestFit="1" customWidth="1"/>
    <col min="7" max="8" width="14.81640625" bestFit="1" customWidth="1"/>
    <col min="9" max="9" width="13" bestFit="1" customWidth="1"/>
  </cols>
  <sheetData>
    <row r="1" spans="1:9" ht="15.5">
      <c r="A1" s="11" t="s">
        <v>136</v>
      </c>
      <c r="B1" s="11" t="s">
        <v>236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7" t="s">
        <v>132</v>
      </c>
      <c r="I1" s="3" t="s">
        <v>6</v>
      </c>
    </row>
    <row r="2" spans="1:9">
      <c r="A2" s="13" t="s">
        <v>137</v>
      </c>
      <c r="B2" s="13" t="s">
        <v>237</v>
      </c>
      <c r="C2" s="2" t="s">
        <v>28</v>
      </c>
      <c r="D2" s="2" t="s">
        <v>34</v>
      </c>
      <c r="E2" s="2" t="s">
        <v>14</v>
      </c>
      <c r="F2" s="2">
        <v>5</v>
      </c>
      <c r="G2" s="5">
        <v>204140.09</v>
      </c>
      <c r="H2" s="5">
        <f>F2*G2</f>
        <v>1020700.45</v>
      </c>
      <c r="I2" s="2" t="s">
        <v>23</v>
      </c>
    </row>
    <row r="3" spans="1:9">
      <c r="A3" s="12" t="s">
        <v>138</v>
      </c>
      <c r="B3" s="12"/>
      <c r="C3" s="2" t="s">
        <v>129</v>
      </c>
      <c r="D3" s="2" t="s">
        <v>9</v>
      </c>
      <c r="E3" s="2" t="s">
        <v>10</v>
      </c>
      <c r="F3" s="2">
        <v>5</v>
      </c>
      <c r="G3" s="5">
        <v>8159.96</v>
      </c>
      <c r="H3" s="5">
        <f t="shared" ref="H3:H66" si="0">F3*G3</f>
        <v>40799.800000000003</v>
      </c>
      <c r="I3" s="2" t="s">
        <v>17</v>
      </c>
    </row>
    <row r="4" spans="1:9">
      <c r="A4" s="12" t="s">
        <v>138</v>
      </c>
      <c r="B4" s="12"/>
      <c r="C4" s="2" t="s">
        <v>127</v>
      </c>
      <c r="D4" s="2" t="s">
        <v>26</v>
      </c>
      <c r="E4" s="2" t="s">
        <v>10</v>
      </c>
      <c r="F4" s="2">
        <v>3</v>
      </c>
      <c r="G4" s="5">
        <v>0</v>
      </c>
      <c r="H4" s="5">
        <f t="shared" si="0"/>
        <v>0</v>
      </c>
      <c r="I4" s="2" t="s">
        <v>23</v>
      </c>
    </row>
    <row r="5" spans="1:9">
      <c r="A5" s="12" t="s">
        <v>139</v>
      </c>
      <c r="B5" s="12"/>
      <c r="C5" s="2" t="s">
        <v>8</v>
      </c>
      <c r="D5" s="2" t="s">
        <v>9</v>
      </c>
      <c r="E5" s="2" t="s">
        <v>10</v>
      </c>
      <c r="F5" s="2">
        <v>0</v>
      </c>
      <c r="G5" s="5">
        <v>7020</v>
      </c>
      <c r="H5" s="5">
        <f t="shared" si="0"/>
        <v>0</v>
      </c>
      <c r="I5" s="2" t="s">
        <v>23</v>
      </c>
    </row>
    <row r="6" spans="1:9">
      <c r="A6" s="12" t="s">
        <v>139</v>
      </c>
      <c r="B6" s="12"/>
      <c r="C6" s="2" t="s">
        <v>8</v>
      </c>
      <c r="D6" s="2" t="s">
        <v>26</v>
      </c>
      <c r="E6" s="2" t="s">
        <v>10</v>
      </c>
      <c r="F6" s="2">
        <v>10</v>
      </c>
      <c r="G6" s="5">
        <v>13927.77</v>
      </c>
      <c r="H6" s="5">
        <f t="shared" si="0"/>
        <v>139277.70000000001</v>
      </c>
      <c r="I6" s="2" t="s">
        <v>17</v>
      </c>
    </row>
    <row r="7" spans="1:9">
      <c r="A7" s="12" t="s">
        <v>140</v>
      </c>
      <c r="B7" s="12"/>
      <c r="C7" s="2" t="s">
        <v>40</v>
      </c>
      <c r="D7" s="2" t="s">
        <v>36</v>
      </c>
      <c r="E7" s="2" t="s">
        <v>14</v>
      </c>
      <c r="F7" s="2">
        <v>5</v>
      </c>
      <c r="G7" s="5">
        <v>0</v>
      </c>
      <c r="H7" s="5">
        <f t="shared" si="0"/>
        <v>0</v>
      </c>
      <c r="I7" s="2" t="s">
        <v>29</v>
      </c>
    </row>
    <row r="8" spans="1:9">
      <c r="A8" s="12" t="s">
        <v>140</v>
      </c>
      <c r="B8" s="12"/>
      <c r="C8" s="2" t="s">
        <v>28</v>
      </c>
      <c r="D8" s="2" t="s">
        <v>27</v>
      </c>
      <c r="E8" s="2" t="s">
        <v>10</v>
      </c>
      <c r="F8" s="2">
        <v>10</v>
      </c>
      <c r="G8" s="5">
        <v>13767.94</v>
      </c>
      <c r="H8" s="5">
        <f t="shared" si="0"/>
        <v>137679.4</v>
      </c>
      <c r="I8" s="2" t="s">
        <v>23</v>
      </c>
    </row>
    <row r="9" spans="1:9">
      <c r="A9" s="12" t="s">
        <v>141</v>
      </c>
      <c r="B9" s="12"/>
      <c r="C9" s="2" t="s">
        <v>127</v>
      </c>
      <c r="D9" s="2" t="s">
        <v>16</v>
      </c>
      <c r="E9" s="2" t="s">
        <v>10</v>
      </c>
      <c r="F9" s="2">
        <v>1</v>
      </c>
      <c r="G9" s="5">
        <v>12658.08</v>
      </c>
      <c r="H9" s="5">
        <f t="shared" si="0"/>
        <v>12658.08</v>
      </c>
      <c r="I9" s="2" t="s">
        <v>17</v>
      </c>
    </row>
    <row r="10" spans="1:9">
      <c r="A10" s="12" t="s">
        <v>141</v>
      </c>
      <c r="B10" s="12"/>
      <c r="C10" s="2" t="s">
        <v>127</v>
      </c>
      <c r="D10" s="2" t="s">
        <v>19</v>
      </c>
      <c r="E10" s="2" t="s">
        <v>20</v>
      </c>
      <c r="F10" s="2">
        <v>5</v>
      </c>
      <c r="G10" s="5">
        <v>0</v>
      </c>
      <c r="H10" s="5">
        <f t="shared" si="0"/>
        <v>0</v>
      </c>
      <c r="I10" s="2" t="s">
        <v>21</v>
      </c>
    </row>
    <row r="11" spans="1:9">
      <c r="A11" s="12" t="s">
        <v>142</v>
      </c>
      <c r="B11" s="12"/>
      <c r="C11" s="2" t="s">
        <v>131</v>
      </c>
      <c r="D11" s="2" t="s">
        <v>13</v>
      </c>
      <c r="E11" s="2" t="s">
        <v>14</v>
      </c>
      <c r="F11" s="2">
        <v>2</v>
      </c>
      <c r="G11" s="5">
        <v>0</v>
      </c>
      <c r="H11" s="5">
        <f t="shared" si="0"/>
        <v>0</v>
      </c>
      <c r="I11" s="2" t="s">
        <v>17</v>
      </c>
    </row>
    <row r="12" spans="1:9">
      <c r="A12" s="12" t="s">
        <v>143</v>
      </c>
      <c r="B12" s="12"/>
      <c r="C12" s="2" t="s">
        <v>8</v>
      </c>
      <c r="D12" s="2" t="s">
        <v>26</v>
      </c>
      <c r="E12" s="2" t="s">
        <v>10</v>
      </c>
      <c r="F12" s="2">
        <v>5</v>
      </c>
      <c r="G12" s="5">
        <v>0</v>
      </c>
      <c r="H12" s="5">
        <f t="shared" si="0"/>
        <v>0</v>
      </c>
      <c r="I12" s="2" t="s">
        <v>29</v>
      </c>
    </row>
    <row r="13" spans="1:9">
      <c r="A13" s="12" t="s">
        <v>144</v>
      </c>
      <c r="B13" s="12"/>
      <c r="C13" s="2" t="s">
        <v>130</v>
      </c>
      <c r="D13" s="2" t="s">
        <v>19</v>
      </c>
      <c r="E13" s="2" t="s">
        <v>20</v>
      </c>
      <c r="F13" s="2">
        <v>1</v>
      </c>
      <c r="G13" s="5">
        <v>91767.26</v>
      </c>
      <c r="H13" s="5">
        <f t="shared" si="0"/>
        <v>91767.26</v>
      </c>
      <c r="I13" s="2" t="s">
        <v>29</v>
      </c>
    </row>
    <row r="14" spans="1:9">
      <c r="A14" s="12" t="s">
        <v>144</v>
      </c>
      <c r="B14" s="12"/>
      <c r="C14" s="2" t="s">
        <v>128</v>
      </c>
      <c r="D14" s="2" t="s">
        <v>34</v>
      </c>
      <c r="E14" s="2" t="s">
        <v>14</v>
      </c>
      <c r="F14" s="2">
        <v>-1</v>
      </c>
      <c r="G14" s="5">
        <v>195995.82</v>
      </c>
      <c r="H14" s="5">
        <f t="shared" si="0"/>
        <v>-195995.82</v>
      </c>
      <c r="I14" s="2" t="s">
        <v>43</v>
      </c>
    </row>
    <row r="15" spans="1:9">
      <c r="A15" s="12" t="s">
        <v>145</v>
      </c>
      <c r="B15" s="12"/>
      <c r="C15" s="2" t="s">
        <v>8</v>
      </c>
      <c r="D15" s="2" t="s">
        <v>26</v>
      </c>
      <c r="E15" s="2" t="s">
        <v>10</v>
      </c>
      <c r="F15" s="2">
        <v>7</v>
      </c>
      <c r="G15" s="5">
        <v>13189.05</v>
      </c>
      <c r="H15" s="5">
        <f t="shared" si="0"/>
        <v>92323.349999999991</v>
      </c>
      <c r="I15" s="2" t="s">
        <v>29</v>
      </c>
    </row>
    <row r="16" spans="1:9">
      <c r="A16" s="12" t="s">
        <v>146</v>
      </c>
      <c r="B16" s="12"/>
      <c r="C16" s="2" t="s">
        <v>131</v>
      </c>
      <c r="D16" s="2" t="s">
        <v>31</v>
      </c>
      <c r="E16" s="2" t="s">
        <v>20</v>
      </c>
      <c r="F16" s="2">
        <v>2</v>
      </c>
      <c r="G16" s="5">
        <v>44765.47</v>
      </c>
      <c r="H16" s="5">
        <f t="shared" si="0"/>
        <v>89530.94</v>
      </c>
      <c r="I16" s="2" t="s">
        <v>23</v>
      </c>
    </row>
    <row r="17" spans="1:9">
      <c r="A17" s="12" t="s">
        <v>146</v>
      </c>
      <c r="B17" s="12"/>
      <c r="C17" s="2" t="s">
        <v>128</v>
      </c>
      <c r="D17" s="2" t="s">
        <v>19</v>
      </c>
      <c r="E17" s="2" t="s">
        <v>20</v>
      </c>
      <c r="F17" s="2">
        <v>4</v>
      </c>
      <c r="G17" s="5">
        <v>90133.86</v>
      </c>
      <c r="H17" s="5">
        <f t="shared" si="0"/>
        <v>360535.44</v>
      </c>
      <c r="I17" s="2" t="s">
        <v>43</v>
      </c>
    </row>
    <row r="18" spans="1:9">
      <c r="A18" s="12" t="s">
        <v>147</v>
      </c>
      <c r="B18" s="12"/>
      <c r="C18" s="2" t="s">
        <v>128</v>
      </c>
      <c r="D18" s="2" t="s">
        <v>26</v>
      </c>
      <c r="E18" s="2" t="s">
        <v>10</v>
      </c>
      <c r="F18" s="2">
        <v>5</v>
      </c>
      <c r="G18" s="5">
        <v>16952.41</v>
      </c>
      <c r="H18" s="5">
        <f t="shared" si="0"/>
        <v>84762.05</v>
      </c>
      <c r="I18" s="2" t="s">
        <v>17</v>
      </c>
    </row>
    <row r="19" spans="1:9">
      <c r="A19" s="12" t="s">
        <v>148</v>
      </c>
      <c r="B19" s="12"/>
      <c r="C19" s="2" t="s">
        <v>131</v>
      </c>
      <c r="D19" s="2" t="s">
        <v>34</v>
      </c>
      <c r="E19" s="2" t="s">
        <v>14</v>
      </c>
      <c r="F19" s="2">
        <v>10</v>
      </c>
      <c r="G19" s="5">
        <v>193020.41</v>
      </c>
      <c r="H19" s="5">
        <f t="shared" si="0"/>
        <v>1930204.1</v>
      </c>
      <c r="I19" s="2" t="s">
        <v>23</v>
      </c>
    </row>
    <row r="20" spans="1:9">
      <c r="A20" s="12" t="s">
        <v>148</v>
      </c>
      <c r="B20" s="12"/>
      <c r="C20" s="2" t="s">
        <v>8</v>
      </c>
      <c r="D20" s="2" t="s">
        <v>36</v>
      </c>
      <c r="E20" s="2" t="s">
        <v>14</v>
      </c>
      <c r="F20" s="2">
        <v>0</v>
      </c>
      <c r="G20" s="5">
        <v>314132.18</v>
      </c>
      <c r="H20" s="5">
        <f t="shared" si="0"/>
        <v>0</v>
      </c>
      <c r="I20" s="2" t="s">
        <v>23</v>
      </c>
    </row>
    <row r="21" spans="1:9">
      <c r="A21" s="12" t="s">
        <v>148</v>
      </c>
      <c r="B21" s="12"/>
      <c r="C21" s="2" t="s">
        <v>130</v>
      </c>
      <c r="D21" s="2" t="s">
        <v>19</v>
      </c>
      <c r="E21" s="2" t="s">
        <v>20</v>
      </c>
      <c r="F21" s="2">
        <v>7</v>
      </c>
      <c r="G21" s="5">
        <v>87243.92</v>
      </c>
      <c r="H21" s="5">
        <f t="shared" si="0"/>
        <v>610707.43999999994</v>
      </c>
      <c r="I21" s="2" t="s">
        <v>27</v>
      </c>
    </row>
    <row r="22" spans="1:9">
      <c r="A22" s="12" t="s">
        <v>149</v>
      </c>
      <c r="B22" s="12"/>
      <c r="C22" s="2" t="s">
        <v>131</v>
      </c>
      <c r="D22" s="2" t="s">
        <v>9</v>
      </c>
      <c r="E22" s="2" t="s">
        <v>10</v>
      </c>
      <c r="F22" s="2">
        <v>1</v>
      </c>
      <c r="G22" s="5">
        <v>0</v>
      </c>
      <c r="H22" s="5">
        <f t="shared" si="0"/>
        <v>0</v>
      </c>
      <c r="I22" s="2" t="s">
        <v>23</v>
      </c>
    </row>
    <row r="23" spans="1:9">
      <c r="A23" s="12" t="s">
        <v>149</v>
      </c>
      <c r="B23" s="12"/>
      <c r="C23" s="2" t="s">
        <v>40</v>
      </c>
      <c r="D23" s="2" t="s">
        <v>19</v>
      </c>
      <c r="E23" s="2" t="s">
        <v>20</v>
      </c>
      <c r="F23" s="2">
        <v>5</v>
      </c>
      <c r="G23" s="5">
        <v>79645.63</v>
      </c>
      <c r="H23" s="5">
        <f t="shared" si="0"/>
        <v>398228.15</v>
      </c>
      <c r="I23" s="2" t="s">
        <v>23</v>
      </c>
    </row>
    <row r="24" spans="1:9">
      <c r="A24" s="12" t="s">
        <v>150</v>
      </c>
      <c r="B24" s="12"/>
      <c r="C24" s="2" t="s">
        <v>130</v>
      </c>
      <c r="D24" s="2" t="s">
        <v>31</v>
      </c>
      <c r="E24" s="2" t="s">
        <v>20</v>
      </c>
      <c r="F24" s="2">
        <v>3</v>
      </c>
      <c r="G24" s="5">
        <v>39663.14</v>
      </c>
      <c r="H24" s="5">
        <f t="shared" si="0"/>
        <v>118989.42</v>
      </c>
      <c r="I24" s="2" t="s">
        <v>17</v>
      </c>
    </row>
    <row r="25" spans="1:9">
      <c r="A25" s="12" t="s">
        <v>151</v>
      </c>
      <c r="B25" s="12"/>
      <c r="C25" s="2" t="s">
        <v>129</v>
      </c>
      <c r="D25" s="2" t="s">
        <v>19</v>
      </c>
      <c r="E25" s="2" t="s">
        <v>20</v>
      </c>
      <c r="F25" s="2">
        <v>8</v>
      </c>
      <c r="G25" s="5">
        <v>76173.37</v>
      </c>
      <c r="H25" s="5">
        <f t="shared" si="0"/>
        <v>609386.96</v>
      </c>
      <c r="I25" s="2" t="s">
        <v>21</v>
      </c>
    </row>
    <row r="26" spans="1:9">
      <c r="A26" s="12" t="s">
        <v>151</v>
      </c>
      <c r="B26" s="12"/>
      <c r="C26" s="2" t="s">
        <v>40</v>
      </c>
      <c r="D26" s="2" t="s">
        <v>26</v>
      </c>
      <c r="E26" s="2" t="s">
        <v>10</v>
      </c>
      <c r="F26" s="2">
        <v>9</v>
      </c>
      <c r="G26" s="5">
        <v>0</v>
      </c>
      <c r="H26" s="5">
        <f t="shared" si="0"/>
        <v>0</v>
      </c>
      <c r="I26" s="2" t="s">
        <v>29</v>
      </c>
    </row>
    <row r="27" spans="1:9">
      <c r="A27" s="12" t="s">
        <v>151</v>
      </c>
      <c r="B27" s="12"/>
      <c r="C27" s="2" t="s">
        <v>131</v>
      </c>
      <c r="D27" s="2" t="s">
        <v>36</v>
      </c>
      <c r="E27" s="2" t="s">
        <v>14</v>
      </c>
      <c r="F27" s="2">
        <v>5</v>
      </c>
      <c r="G27" s="5">
        <v>388950.08</v>
      </c>
      <c r="H27" s="5">
        <f t="shared" si="0"/>
        <v>1944750.4000000001</v>
      </c>
      <c r="I27" s="2" t="s">
        <v>21</v>
      </c>
    </row>
    <row r="28" spans="1:9">
      <c r="A28" s="12" t="s">
        <v>152</v>
      </c>
      <c r="B28" s="12"/>
      <c r="C28" s="2" t="s">
        <v>8</v>
      </c>
      <c r="D28" s="2" t="s">
        <v>36</v>
      </c>
      <c r="E28" s="2" t="s">
        <v>14</v>
      </c>
      <c r="F28" s="2">
        <v>5</v>
      </c>
      <c r="G28" s="5">
        <v>0</v>
      </c>
      <c r="H28" s="5">
        <f t="shared" si="0"/>
        <v>0</v>
      </c>
      <c r="I28" s="2" t="s">
        <v>23</v>
      </c>
    </row>
    <row r="29" spans="1:9">
      <c r="A29" s="12" t="s">
        <v>152</v>
      </c>
      <c r="B29" s="12"/>
      <c r="C29" s="2" t="s">
        <v>28</v>
      </c>
      <c r="D29" s="2" t="s">
        <v>34</v>
      </c>
      <c r="E29" s="2" t="s">
        <v>14</v>
      </c>
      <c r="F29" s="2">
        <v>7</v>
      </c>
      <c r="G29" s="5">
        <v>179016.2</v>
      </c>
      <c r="H29" s="5">
        <f t="shared" si="0"/>
        <v>1253113.4000000001</v>
      </c>
      <c r="I29" s="2" t="s">
        <v>27</v>
      </c>
    </row>
    <row r="30" spans="1:9">
      <c r="A30" s="12" t="s">
        <v>153</v>
      </c>
      <c r="B30" s="12"/>
      <c r="C30" s="2" t="s">
        <v>127</v>
      </c>
      <c r="D30" s="2" t="s">
        <v>36</v>
      </c>
      <c r="E30" s="2" t="s">
        <v>14</v>
      </c>
      <c r="F30" s="2">
        <v>5</v>
      </c>
      <c r="G30" s="5">
        <v>383639.73</v>
      </c>
      <c r="H30" s="5">
        <f t="shared" si="0"/>
        <v>1918198.65</v>
      </c>
      <c r="I30" s="2" t="s">
        <v>17</v>
      </c>
    </row>
    <row r="31" spans="1:9">
      <c r="A31" s="12" t="s">
        <v>154</v>
      </c>
      <c r="B31" s="12"/>
      <c r="C31" s="2" t="s">
        <v>40</v>
      </c>
      <c r="D31" s="2" t="s">
        <v>16</v>
      </c>
      <c r="E31" s="2" t="s">
        <v>10</v>
      </c>
      <c r="F31" s="2">
        <v>10</v>
      </c>
      <c r="G31" s="5">
        <v>11105.06</v>
      </c>
      <c r="H31" s="5">
        <f t="shared" si="0"/>
        <v>111050.59999999999</v>
      </c>
      <c r="I31" s="2" t="s">
        <v>17</v>
      </c>
    </row>
    <row r="32" spans="1:9">
      <c r="A32" s="12" t="s">
        <v>155</v>
      </c>
      <c r="B32" s="12"/>
      <c r="C32" s="2" t="s">
        <v>128</v>
      </c>
      <c r="D32" s="2" t="s">
        <v>9</v>
      </c>
      <c r="E32" s="2" t="s">
        <v>10</v>
      </c>
      <c r="F32" s="2">
        <v>7</v>
      </c>
      <c r="G32" s="5">
        <v>8009.15</v>
      </c>
      <c r="H32" s="5">
        <f t="shared" si="0"/>
        <v>56064.049999999996</v>
      </c>
      <c r="I32" s="2" t="s">
        <v>21</v>
      </c>
    </row>
    <row r="33" spans="1:9">
      <c r="A33" s="12" t="s">
        <v>155</v>
      </c>
      <c r="B33" s="12"/>
      <c r="C33" s="2" t="s">
        <v>28</v>
      </c>
      <c r="D33" s="2" t="s">
        <v>36</v>
      </c>
      <c r="E33" s="2" t="s">
        <v>14</v>
      </c>
      <c r="F33" s="2">
        <v>3</v>
      </c>
      <c r="G33" s="5">
        <v>321202.15999999997</v>
      </c>
      <c r="H33" s="5">
        <f t="shared" si="0"/>
        <v>963606.48</v>
      </c>
      <c r="I33" s="2" t="s">
        <v>23</v>
      </c>
    </row>
    <row r="34" spans="1:9">
      <c r="A34" s="12" t="s">
        <v>156</v>
      </c>
      <c r="B34" s="12"/>
      <c r="C34" s="2" t="s">
        <v>40</v>
      </c>
      <c r="D34" s="2" t="s">
        <v>26</v>
      </c>
      <c r="E34" s="2" t="s">
        <v>10</v>
      </c>
      <c r="F34" s="2">
        <v>2</v>
      </c>
      <c r="G34" s="5">
        <v>12963.47</v>
      </c>
      <c r="H34" s="5">
        <f t="shared" si="0"/>
        <v>25926.94</v>
      </c>
      <c r="I34" s="2" t="s">
        <v>23</v>
      </c>
    </row>
    <row r="35" spans="1:9">
      <c r="A35" s="12" t="s">
        <v>157</v>
      </c>
      <c r="B35" s="12"/>
      <c r="C35" s="2" t="s">
        <v>28</v>
      </c>
      <c r="D35" s="2" t="s">
        <v>26</v>
      </c>
      <c r="E35" s="2" t="s">
        <v>10</v>
      </c>
      <c r="F35" s="2">
        <v>10</v>
      </c>
      <c r="G35" s="5">
        <v>15291.86</v>
      </c>
      <c r="H35" s="5">
        <f t="shared" si="0"/>
        <v>152918.6</v>
      </c>
      <c r="I35" s="2" t="s">
        <v>29</v>
      </c>
    </row>
    <row r="36" spans="1:9">
      <c r="A36" s="12" t="s">
        <v>157</v>
      </c>
      <c r="B36" s="12"/>
      <c r="C36" s="2" t="s">
        <v>8</v>
      </c>
      <c r="D36" s="2" t="s">
        <v>27</v>
      </c>
      <c r="E36" s="2" t="s">
        <v>20</v>
      </c>
      <c r="F36" s="2">
        <v>3</v>
      </c>
      <c r="G36" s="5">
        <v>0</v>
      </c>
      <c r="H36" s="5">
        <f t="shared" si="0"/>
        <v>0</v>
      </c>
      <c r="I36" s="2" t="s">
        <v>29</v>
      </c>
    </row>
    <row r="37" spans="1:9">
      <c r="A37" s="12" t="s">
        <v>158</v>
      </c>
      <c r="B37" s="12"/>
      <c r="C37" s="2" t="s">
        <v>28</v>
      </c>
      <c r="D37" s="2" t="s">
        <v>16</v>
      </c>
      <c r="E37" s="2" t="s">
        <v>10</v>
      </c>
      <c r="F37" s="2">
        <v>3</v>
      </c>
      <c r="G37" s="5">
        <v>12524.88</v>
      </c>
      <c r="H37" s="5">
        <f t="shared" si="0"/>
        <v>37574.639999999999</v>
      </c>
      <c r="I37" s="2" t="s">
        <v>23</v>
      </c>
    </row>
    <row r="38" spans="1:9">
      <c r="A38" s="12" t="s">
        <v>158</v>
      </c>
      <c r="B38" s="12"/>
      <c r="C38" s="2" t="s">
        <v>131</v>
      </c>
      <c r="D38" s="2" t="s">
        <v>19</v>
      </c>
      <c r="E38" s="2" t="s">
        <v>20</v>
      </c>
      <c r="F38" s="2">
        <v>5</v>
      </c>
      <c r="G38" s="5">
        <v>85057.33</v>
      </c>
      <c r="H38" s="5">
        <f t="shared" si="0"/>
        <v>425286.65</v>
      </c>
      <c r="I38" s="2" t="s">
        <v>23</v>
      </c>
    </row>
    <row r="39" spans="1:9">
      <c r="A39" s="12" t="s">
        <v>159</v>
      </c>
      <c r="B39" s="12"/>
      <c r="C39" s="2" t="s">
        <v>8</v>
      </c>
      <c r="D39" s="2" t="s">
        <v>27</v>
      </c>
      <c r="E39" s="2" t="s">
        <v>20</v>
      </c>
      <c r="F39" s="2">
        <v>5</v>
      </c>
      <c r="G39" s="5">
        <v>73299.990000000005</v>
      </c>
      <c r="H39" s="5">
        <f t="shared" si="0"/>
        <v>366499.95</v>
      </c>
      <c r="I39" s="2" t="s">
        <v>23</v>
      </c>
    </row>
    <row r="40" spans="1:9">
      <c r="A40" s="12" t="s">
        <v>159</v>
      </c>
      <c r="B40" s="12"/>
      <c r="C40" s="2" t="s">
        <v>130</v>
      </c>
      <c r="D40" s="2" t="s">
        <v>9</v>
      </c>
      <c r="E40" s="2" t="s">
        <v>10</v>
      </c>
      <c r="F40" s="2">
        <v>9</v>
      </c>
      <c r="G40" s="5">
        <v>7040.92</v>
      </c>
      <c r="H40" s="5">
        <f t="shared" si="0"/>
        <v>63368.28</v>
      </c>
      <c r="I40" s="2" t="s">
        <v>23</v>
      </c>
    </row>
    <row r="41" spans="1:9">
      <c r="A41" s="12" t="s">
        <v>159</v>
      </c>
      <c r="B41" s="12"/>
      <c r="C41" s="2" t="s">
        <v>129</v>
      </c>
      <c r="D41" s="2" t="s">
        <v>26</v>
      </c>
      <c r="E41" s="2" t="s">
        <v>10</v>
      </c>
      <c r="F41" s="2">
        <v>6</v>
      </c>
      <c r="G41" s="5">
        <v>13062.14</v>
      </c>
      <c r="H41" s="5">
        <f t="shared" si="0"/>
        <v>78372.84</v>
      </c>
      <c r="I41" s="2" t="s">
        <v>23</v>
      </c>
    </row>
    <row r="42" spans="1:9">
      <c r="A42" s="12" t="s">
        <v>160</v>
      </c>
      <c r="B42" s="12"/>
      <c r="C42" s="2" t="s">
        <v>40</v>
      </c>
      <c r="D42" s="2" t="s">
        <v>19</v>
      </c>
      <c r="E42" s="2" t="s">
        <v>20</v>
      </c>
      <c r="F42" s="2">
        <v>2</v>
      </c>
      <c r="G42" s="5">
        <v>76356.73</v>
      </c>
      <c r="H42" s="5">
        <f t="shared" si="0"/>
        <v>152713.46</v>
      </c>
      <c r="I42" s="2" t="s">
        <v>43</v>
      </c>
    </row>
    <row r="43" spans="1:9">
      <c r="A43" s="12" t="s">
        <v>160</v>
      </c>
      <c r="B43" s="12"/>
      <c r="C43" s="2" t="s">
        <v>131</v>
      </c>
      <c r="D43" s="2" t="s">
        <v>26</v>
      </c>
      <c r="E43" s="2" t="s">
        <v>10</v>
      </c>
      <c r="F43" s="2">
        <v>1</v>
      </c>
      <c r="G43" s="5">
        <v>13482.82</v>
      </c>
      <c r="H43" s="5">
        <f t="shared" si="0"/>
        <v>13482.82</v>
      </c>
      <c r="I43" s="2" t="s">
        <v>29</v>
      </c>
    </row>
    <row r="44" spans="1:9">
      <c r="A44" s="12" t="s">
        <v>161</v>
      </c>
      <c r="B44" s="12"/>
      <c r="C44" s="2" t="s">
        <v>28</v>
      </c>
      <c r="D44" s="2" t="s">
        <v>13</v>
      </c>
      <c r="E44" s="2" t="s">
        <v>14</v>
      </c>
      <c r="F44" s="2">
        <v>8</v>
      </c>
      <c r="G44" s="5">
        <v>105878.62</v>
      </c>
      <c r="H44" s="5">
        <f t="shared" si="0"/>
        <v>847028.96</v>
      </c>
      <c r="I44" s="2" t="s">
        <v>17</v>
      </c>
    </row>
    <row r="45" spans="1:9">
      <c r="A45" s="12" t="s">
        <v>161</v>
      </c>
      <c r="B45" s="12"/>
      <c r="C45" s="2" t="s">
        <v>8</v>
      </c>
      <c r="D45" s="2" t="s">
        <v>16</v>
      </c>
      <c r="E45" s="2" t="s">
        <v>10</v>
      </c>
      <c r="F45" s="2">
        <v>8</v>
      </c>
      <c r="G45" s="5">
        <v>11955.67</v>
      </c>
      <c r="H45" s="5">
        <f t="shared" si="0"/>
        <v>95645.36</v>
      </c>
      <c r="I45" s="2" t="s">
        <v>17</v>
      </c>
    </row>
    <row r="46" spans="1:9">
      <c r="A46" s="12" t="s">
        <v>162</v>
      </c>
      <c r="B46" s="12"/>
      <c r="C46" s="2" t="s">
        <v>130</v>
      </c>
      <c r="D46" s="2" t="s">
        <v>27</v>
      </c>
      <c r="E46" s="2" t="s">
        <v>14</v>
      </c>
      <c r="F46" s="2">
        <v>7</v>
      </c>
      <c r="G46" s="5">
        <v>0</v>
      </c>
      <c r="H46" s="5">
        <f t="shared" si="0"/>
        <v>0</v>
      </c>
      <c r="I46" s="2" t="s">
        <v>23</v>
      </c>
    </row>
    <row r="47" spans="1:9">
      <c r="A47" s="12" t="s">
        <v>163</v>
      </c>
      <c r="B47" s="12"/>
      <c r="C47" s="2" t="s">
        <v>127</v>
      </c>
      <c r="D47" s="2" t="s">
        <v>16</v>
      </c>
      <c r="E47" s="2" t="s">
        <v>10</v>
      </c>
      <c r="F47" s="2">
        <v>4</v>
      </c>
      <c r="G47" s="5">
        <v>11190.13</v>
      </c>
      <c r="H47" s="5">
        <f t="shared" si="0"/>
        <v>44760.52</v>
      </c>
      <c r="I47" s="2" t="s">
        <v>29</v>
      </c>
    </row>
    <row r="48" spans="1:9">
      <c r="A48" s="12" t="s">
        <v>164</v>
      </c>
      <c r="B48" s="12"/>
      <c r="C48" s="2" t="s">
        <v>131</v>
      </c>
      <c r="D48" s="2" t="s">
        <v>31</v>
      </c>
      <c r="E48" s="2" t="s">
        <v>20</v>
      </c>
      <c r="F48" s="2">
        <v>4</v>
      </c>
      <c r="G48" s="5">
        <v>49789.24</v>
      </c>
      <c r="H48" s="5">
        <f t="shared" si="0"/>
        <v>199156.96</v>
      </c>
      <c r="I48" s="2" t="s">
        <v>27</v>
      </c>
    </row>
    <row r="49" spans="1:9">
      <c r="A49" s="12" t="s">
        <v>165</v>
      </c>
      <c r="B49" s="12"/>
      <c r="C49" s="2" t="s">
        <v>129</v>
      </c>
      <c r="D49" s="2" t="s">
        <v>9</v>
      </c>
      <c r="E49" s="2" t="s">
        <v>10</v>
      </c>
      <c r="F49" s="2">
        <v>10</v>
      </c>
      <c r="G49" s="5">
        <v>7286.17</v>
      </c>
      <c r="H49" s="5">
        <f t="shared" si="0"/>
        <v>72861.7</v>
      </c>
      <c r="I49" s="2" t="s">
        <v>27</v>
      </c>
    </row>
    <row r="50" spans="1:9">
      <c r="A50" s="12" t="s">
        <v>165</v>
      </c>
      <c r="B50" s="12"/>
      <c r="C50" s="2" t="s">
        <v>40</v>
      </c>
      <c r="D50" s="2" t="s">
        <v>36</v>
      </c>
      <c r="E50" s="2" t="s">
        <v>14</v>
      </c>
      <c r="F50" s="2">
        <v>5</v>
      </c>
      <c r="G50" s="5">
        <v>316216.90999999997</v>
      </c>
      <c r="H50" s="5">
        <f t="shared" si="0"/>
        <v>1581084.5499999998</v>
      </c>
      <c r="I50" s="2" t="s">
        <v>23</v>
      </c>
    </row>
    <row r="51" spans="1:9">
      <c r="A51" s="12" t="s">
        <v>166</v>
      </c>
      <c r="B51" s="12"/>
      <c r="C51" s="2" t="s">
        <v>130</v>
      </c>
      <c r="D51" s="2" t="s">
        <v>31</v>
      </c>
      <c r="E51" s="2" t="s">
        <v>20</v>
      </c>
      <c r="F51" s="2">
        <v>6</v>
      </c>
      <c r="G51" s="5">
        <v>0</v>
      </c>
      <c r="H51" s="5">
        <f t="shared" si="0"/>
        <v>0</v>
      </c>
      <c r="I51" s="2" t="s">
        <v>23</v>
      </c>
    </row>
    <row r="52" spans="1:9">
      <c r="A52" s="12" t="s">
        <v>167</v>
      </c>
      <c r="B52" s="12"/>
      <c r="C52" s="2" t="s">
        <v>129</v>
      </c>
      <c r="D52" s="2" t="s">
        <v>34</v>
      </c>
      <c r="E52" s="2" t="s">
        <v>14</v>
      </c>
      <c r="F52" s="2">
        <v>9</v>
      </c>
      <c r="G52" s="5">
        <v>0</v>
      </c>
      <c r="H52" s="5">
        <f t="shared" si="0"/>
        <v>0</v>
      </c>
      <c r="I52" s="2" t="s">
        <v>29</v>
      </c>
    </row>
    <row r="53" spans="1:9">
      <c r="A53" s="12" t="s">
        <v>168</v>
      </c>
      <c r="B53" s="12"/>
      <c r="C53" s="2" t="s">
        <v>130</v>
      </c>
      <c r="D53" s="2" t="s">
        <v>31</v>
      </c>
      <c r="E53" s="2" t="s">
        <v>20</v>
      </c>
      <c r="F53" s="2">
        <v>10</v>
      </c>
      <c r="G53" s="5">
        <v>0</v>
      </c>
      <c r="H53" s="5">
        <f t="shared" si="0"/>
        <v>0</v>
      </c>
      <c r="I53" s="2" t="s">
        <v>17</v>
      </c>
    </row>
    <row r="54" spans="1:9">
      <c r="A54" s="12" t="s">
        <v>168</v>
      </c>
      <c r="B54" s="12"/>
      <c r="C54" s="2" t="s">
        <v>28</v>
      </c>
      <c r="D54" s="2" t="s">
        <v>26</v>
      </c>
      <c r="E54" s="2" t="s">
        <v>10</v>
      </c>
      <c r="F54" s="2">
        <v>7</v>
      </c>
      <c r="G54" s="5">
        <v>13515.87</v>
      </c>
      <c r="H54" s="5">
        <f t="shared" si="0"/>
        <v>94611.090000000011</v>
      </c>
      <c r="I54" s="2" t="s">
        <v>27</v>
      </c>
    </row>
    <row r="55" spans="1:9">
      <c r="A55" s="12" t="s">
        <v>169</v>
      </c>
      <c r="B55" s="12"/>
      <c r="C55" s="2" t="s">
        <v>127</v>
      </c>
      <c r="D55" s="2" t="s">
        <v>16</v>
      </c>
      <c r="E55" s="2" t="s">
        <v>10</v>
      </c>
      <c r="F55" s="2">
        <v>4</v>
      </c>
      <c r="G55" s="5">
        <v>13057.78</v>
      </c>
      <c r="H55" s="5">
        <f t="shared" si="0"/>
        <v>52231.12</v>
      </c>
      <c r="I55" s="2" t="s">
        <v>23</v>
      </c>
    </row>
    <row r="56" spans="1:9">
      <c r="A56" s="12" t="s">
        <v>169</v>
      </c>
      <c r="B56" s="12"/>
      <c r="C56" s="2" t="s">
        <v>128</v>
      </c>
      <c r="D56" s="2" t="s">
        <v>26</v>
      </c>
      <c r="E56" s="2" t="s">
        <v>10</v>
      </c>
      <c r="F56" s="2">
        <v>10</v>
      </c>
      <c r="G56" s="5">
        <v>15980.14</v>
      </c>
      <c r="H56" s="5">
        <f t="shared" si="0"/>
        <v>159801.4</v>
      </c>
      <c r="I56" s="2" t="s">
        <v>23</v>
      </c>
    </row>
    <row r="57" spans="1:9">
      <c r="A57" s="12" t="s">
        <v>169</v>
      </c>
      <c r="B57" s="12"/>
      <c r="C57" s="2" t="s">
        <v>127</v>
      </c>
      <c r="D57" s="2" t="s">
        <v>26</v>
      </c>
      <c r="E57" s="2" t="s">
        <v>10</v>
      </c>
      <c r="F57" s="2">
        <v>7</v>
      </c>
      <c r="G57" s="5">
        <v>16026.02</v>
      </c>
      <c r="H57" s="5">
        <f t="shared" si="0"/>
        <v>112182.14</v>
      </c>
      <c r="I57" s="2" t="s">
        <v>23</v>
      </c>
    </row>
    <row r="58" spans="1:9">
      <c r="A58" s="12" t="s">
        <v>170</v>
      </c>
      <c r="B58" s="12"/>
      <c r="C58" s="2" t="s">
        <v>127</v>
      </c>
      <c r="D58" s="2" t="s">
        <v>19</v>
      </c>
      <c r="E58" s="2" t="s">
        <v>20</v>
      </c>
      <c r="F58" s="2">
        <v>7</v>
      </c>
      <c r="G58" s="5">
        <v>80872.61</v>
      </c>
      <c r="H58" s="5">
        <f t="shared" si="0"/>
        <v>566108.27</v>
      </c>
      <c r="I58" s="2" t="s">
        <v>27</v>
      </c>
    </row>
    <row r="59" spans="1:9">
      <c r="A59" s="12" t="s">
        <v>171</v>
      </c>
      <c r="B59" s="12"/>
      <c r="C59" s="2" t="s">
        <v>127</v>
      </c>
      <c r="D59" s="2" t="s">
        <v>13</v>
      </c>
      <c r="E59" s="2" t="s">
        <v>14</v>
      </c>
      <c r="F59" s="2">
        <v>2</v>
      </c>
      <c r="G59" s="5">
        <v>106607.48</v>
      </c>
      <c r="H59" s="5">
        <f t="shared" si="0"/>
        <v>213214.96</v>
      </c>
      <c r="I59" s="2" t="s">
        <v>43</v>
      </c>
    </row>
    <row r="60" spans="1:9">
      <c r="A60" s="12" t="s">
        <v>172</v>
      </c>
      <c r="B60" s="12"/>
      <c r="C60" s="2" t="s">
        <v>130</v>
      </c>
      <c r="D60" s="2" t="s">
        <v>26</v>
      </c>
      <c r="E60" s="2" t="s">
        <v>10</v>
      </c>
      <c r="F60" s="2">
        <v>1</v>
      </c>
      <c r="G60" s="5">
        <v>15976.72</v>
      </c>
      <c r="H60" s="5">
        <f t="shared" si="0"/>
        <v>15976.72</v>
      </c>
      <c r="I60" s="2" t="s">
        <v>43</v>
      </c>
    </row>
    <row r="61" spans="1:9">
      <c r="A61" s="12" t="s">
        <v>173</v>
      </c>
      <c r="B61" s="12"/>
      <c r="C61" s="2" t="s">
        <v>40</v>
      </c>
      <c r="D61" s="2" t="s">
        <v>13</v>
      </c>
      <c r="E61" s="2" t="s">
        <v>14</v>
      </c>
      <c r="F61" s="2">
        <v>6</v>
      </c>
      <c r="G61" s="5">
        <v>0</v>
      </c>
      <c r="H61" s="5">
        <f t="shared" si="0"/>
        <v>0</v>
      </c>
      <c r="I61" s="2" t="s">
        <v>23</v>
      </c>
    </row>
    <row r="62" spans="1:9">
      <c r="A62" s="12" t="s">
        <v>174</v>
      </c>
      <c r="B62" s="12"/>
      <c r="C62" s="2" t="s">
        <v>129</v>
      </c>
      <c r="D62" s="2" t="s">
        <v>16</v>
      </c>
      <c r="E62" s="2" t="s">
        <v>10</v>
      </c>
      <c r="F62" s="2">
        <v>4</v>
      </c>
      <c r="G62" s="5">
        <v>11884.61</v>
      </c>
      <c r="H62" s="5">
        <f t="shared" si="0"/>
        <v>47538.44</v>
      </c>
      <c r="I62" s="2" t="s">
        <v>21</v>
      </c>
    </row>
    <row r="63" spans="1:9">
      <c r="A63" s="12" t="s">
        <v>175</v>
      </c>
      <c r="B63" s="12"/>
      <c r="C63" s="2" t="s">
        <v>127</v>
      </c>
      <c r="D63" s="2" t="s">
        <v>26</v>
      </c>
      <c r="E63" s="2" t="s">
        <v>10</v>
      </c>
      <c r="F63" s="2">
        <v>2</v>
      </c>
      <c r="G63" s="5">
        <v>14934.23</v>
      </c>
      <c r="H63" s="5">
        <f t="shared" si="0"/>
        <v>29868.46</v>
      </c>
      <c r="I63" s="2" t="s">
        <v>21</v>
      </c>
    </row>
    <row r="64" spans="1:9">
      <c r="A64" s="12" t="s">
        <v>176</v>
      </c>
      <c r="B64" s="12"/>
      <c r="C64" s="2" t="s">
        <v>28</v>
      </c>
      <c r="D64" s="2" t="s">
        <v>26</v>
      </c>
      <c r="E64" s="2" t="s">
        <v>10</v>
      </c>
      <c r="F64" s="2">
        <v>3</v>
      </c>
      <c r="G64" s="5">
        <v>15792.03</v>
      </c>
      <c r="H64" s="5">
        <f t="shared" si="0"/>
        <v>47376.090000000004</v>
      </c>
      <c r="I64" s="2" t="s">
        <v>43</v>
      </c>
    </row>
    <row r="65" spans="1:9">
      <c r="A65" s="12" t="s">
        <v>176</v>
      </c>
      <c r="B65" s="12"/>
      <c r="C65" s="2" t="s">
        <v>129</v>
      </c>
      <c r="D65" s="2" t="s">
        <v>36</v>
      </c>
      <c r="E65" s="2" t="s">
        <v>14</v>
      </c>
      <c r="F65" s="2">
        <v>0</v>
      </c>
      <c r="G65" s="5">
        <v>383679.59</v>
      </c>
      <c r="H65" s="5">
        <f t="shared" si="0"/>
        <v>0</v>
      </c>
      <c r="I65" s="2" t="s">
        <v>23</v>
      </c>
    </row>
    <row r="66" spans="1:9">
      <c r="A66" s="12" t="s">
        <v>176</v>
      </c>
      <c r="B66" s="12"/>
      <c r="C66" s="2" t="s">
        <v>8</v>
      </c>
      <c r="D66" s="2" t="s">
        <v>36</v>
      </c>
      <c r="E66" s="2" t="s">
        <v>14</v>
      </c>
      <c r="F66" s="2">
        <v>6</v>
      </c>
      <c r="G66" s="5">
        <v>339552.57</v>
      </c>
      <c r="H66" s="5">
        <f t="shared" si="0"/>
        <v>2037315.42</v>
      </c>
      <c r="I66" s="2" t="s">
        <v>29</v>
      </c>
    </row>
    <row r="67" spans="1:9">
      <c r="A67" s="12" t="s">
        <v>177</v>
      </c>
      <c r="B67" s="12"/>
      <c r="C67" s="2" t="s">
        <v>131</v>
      </c>
      <c r="D67" s="2" t="s">
        <v>26</v>
      </c>
      <c r="E67" s="2" t="s">
        <v>10</v>
      </c>
      <c r="F67" s="2">
        <v>1</v>
      </c>
      <c r="G67" s="5">
        <v>15886.27</v>
      </c>
      <c r="H67" s="5">
        <f t="shared" ref="H67:H130" si="1">F67*G67</f>
        <v>15886.27</v>
      </c>
      <c r="I67" s="2" t="s">
        <v>23</v>
      </c>
    </row>
    <row r="68" spans="1:9">
      <c r="A68" s="12" t="s">
        <v>177</v>
      </c>
      <c r="B68" s="12"/>
      <c r="C68" s="2" t="s">
        <v>40</v>
      </c>
      <c r="D68" s="2" t="s">
        <v>34</v>
      </c>
      <c r="E68" s="2" t="s">
        <v>14</v>
      </c>
      <c r="F68" s="2">
        <v>8</v>
      </c>
      <c r="G68" s="5">
        <v>0</v>
      </c>
      <c r="H68" s="5">
        <f t="shared" si="1"/>
        <v>0</v>
      </c>
      <c r="I68" s="2" t="s">
        <v>29</v>
      </c>
    </row>
    <row r="69" spans="1:9">
      <c r="A69" s="12" t="s">
        <v>178</v>
      </c>
      <c r="B69" s="12"/>
      <c r="C69" s="2" t="s">
        <v>130</v>
      </c>
      <c r="D69" s="2" t="s">
        <v>36</v>
      </c>
      <c r="E69" s="2" t="s">
        <v>14</v>
      </c>
      <c r="F69" s="2">
        <v>10</v>
      </c>
      <c r="G69" s="5">
        <v>0</v>
      </c>
      <c r="H69" s="5">
        <f t="shared" si="1"/>
        <v>0</v>
      </c>
      <c r="I69" s="2" t="s">
        <v>29</v>
      </c>
    </row>
    <row r="70" spans="1:9">
      <c r="A70" s="12" t="s">
        <v>179</v>
      </c>
      <c r="B70" s="12"/>
      <c r="C70" s="2" t="s">
        <v>128</v>
      </c>
      <c r="D70" s="2" t="s">
        <v>26</v>
      </c>
      <c r="E70" s="2" t="s">
        <v>10</v>
      </c>
      <c r="F70" s="2">
        <v>7</v>
      </c>
      <c r="G70" s="5">
        <v>17221.41</v>
      </c>
      <c r="H70" s="5">
        <f t="shared" si="1"/>
        <v>120549.87</v>
      </c>
      <c r="I70" s="2" t="s">
        <v>29</v>
      </c>
    </row>
    <row r="71" spans="1:9">
      <c r="A71" s="12" t="s">
        <v>179</v>
      </c>
      <c r="B71" s="12"/>
      <c r="C71" s="2" t="s">
        <v>40</v>
      </c>
      <c r="D71" s="2" t="s">
        <v>36</v>
      </c>
      <c r="E71" s="2" t="s">
        <v>14</v>
      </c>
      <c r="F71" s="2">
        <v>7</v>
      </c>
      <c r="G71" s="5">
        <v>335230.39</v>
      </c>
      <c r="H71" s="5">
        <f t="shared" si="1"/>
        <v>2346612.73</v>
      </c>
      <c r="I71" s="2" t="s">
        <v>43</v>
      </c>
    </row>
    <row r="72" spans="1:9">
      <c r="A72" s="12" t="s">
        <v>180</v>
      </c>
      <c r="B72" s="12"/>
      <c r="C72" s="2" t="s">
        <v>131</v>
      </c>
      <c r="D72" s="2" t="s">
        <v>9</v>
      </c>
      <c r="E72" s="2" t="s">
        <v>10</v>
      </c>
      <c r="F72" s="2">
        <v>9</v>
      </c>
      <c r="G72" s="5">
        <v>0</v>
      </c>
      <c r="H72" s="5">
        <f t="shared" si="1"/>
        <v>0</v>
      </c>
      <c r="I72" s="2" t="s">
        <v>27</v>
      </c>
    </row>
    <row r="73" spans="1:9">
      <c r="A73" s="12" t="s">
        <v>181</v>
      </c>
      <c r="B73" s="12"/>
      <c r="C73" s="2" t="s">
        <v>130</v>
      </c>
      <c r="D73" s="2" t="s">
        <v>36</v>
      </c>
      <c r="E73" s="2" t="s">
        <v>14</v>
      </c>
      <c r="F73" s="2">
        <v>5</v>
      </c>
      <c r="G73" s="5">
        <v>374619.09</v>
      </c>
      <c r="H73" s="5">
        <f t="shared" si="1"/>
        <v>1873095.4500000002</v>
      </c>
      <c r="I73" s="2" t="s">
        <v>27</v>
      </c>
    </row>
    <row r="74" spans="1:9">
      <c r="A74" s="12" t="s">
        <v>181</v>
      </c>
      <c r="B74" s="12"/>
      <c r="C74" s="2" t="s">
        <v>8</v>
      </c>
      <c r="D74" s="2" t="s">
        <v>36</v>
      </c>
      <c r="E74" s="2" t="s">
        <v>14</v>
      </c>
      <c r="F74" s="2">
        <v>1</v>
      </c>
      <c r="G74" s="5">
        <v>322447.65000000002</v>
      </c>
      <c r="H74" s="5">
        <f t="shared" si="1"/>
        <v>322447.65000000002</v>
      </c>
      <c r="I74" s="2" t="s">
        <v>17</v>
      </c>
    </row>
    <row r="75" spans="1:9">
      <c r="A75" s="12" t="s">
        <v>182</v>
      </c>
      <c r="B75" s="12"/>
      <c r="C75" s="2" t="s">
        <v>131</v>
      </c>
      <c r="D75" s="2" t="s">
        <v>9</v>
      </c>
      <c r="E75" s="2" t="s">
        <v>10</v>
      </c>
      <c r="F75" s="2">
        <v>6</v>
      </c>
      <c r="G75" s="5">
        <v>9199.8700000000008</v>
      </c>
      <c r="H75" s="5">
        <f t="shared" si="1"/>
        <v>55199.22</v>
      </c>
      <c r="I75" s="2" t="s">
        <v>21</v>
      </c>
    </row>
    <row r="76" spans="1:9">
      <c r="A76" s="12" t="s">
        <v>183</v>
      </c>
      <c r="B76" s="12"/>
      <c r="C76" s="2" t="s">
        <v>131</v>
      </c>
      <c r="D76" s="2" t="s">
        <v>13</v>
      </c>
      <c r="E76" s="2" t="s">
        <v>14</v>
      </c>
      <c r="F76" s="2">
        <v>5</v>
      </c>
      <c r="G76" s="5">
        <v>0</v>
      </c>
      <c r="H76" s="5">
        <f t="shared" si="1"/>
        <v>0</v>
      </c>
      <c r="I76" s="2" t="s">
        <v>17</v>
      </c>
    </row>
    <row r="77" spans="1:9">
      <c r="A77" s="12" t="s">
        <v>184</v>
      </c>
      <c r="B77" s="12"/>
      <c r="C77" s="2" t="s">
        <v>28</v>
      </c>
      <c r="D77" s="2" t="s">
        <v>36</v>
      </c>
      <c r="E77" s="2" t="s">
        <v>14</v>
      </c>
      <c r="F77" s="2">
        <v>9</v>
      </c>
      <c r="G77" s="5">
        <v>303650.28999999998</v>
      </c>
      <c r="H77" s="5">
        <f t="shared" si="1"/>
        <v>2732852.61</v>
      </c>
      <c r="I77" s="2" t="s">
        <v>23</v>
      </c>
    </row>
    <row r="78" spans="1:9">
      <c r="A78" s="12" t="s">
        <v>184</v>
      </c>
      <c r="B78" s="12"/>
      <c r="C78" s="2" t="s">
        <v>131</v>
      </c>
      <c r="D78" s="2" t="s">
        <v>26</v>
      </c>
      <c r="E78" s="2" t="s">
        <v>10</v>
      </c>
      <c r="F78" s="2">
        <v>3</v>
      </c>
      <c r="G78" s="5">
        <v>15469.86</v>
      </c>
      <c r="H78" s="5">
        <f t="shared" si="1"/>
        <v>46409.58</v>
      </c>
      <c r="I78" s="2" t="s">
        <v>17</v>
      </c>
    </row>
    <row r="79" spans="1:9">
      <c r="A79" s="12" t="s">
        <v>185</v>
      </c>
      <c r="B79" s="12"/>
      <c r="C79" s="2" t="s">
        <v>28</v>
      </c>
      <c r="D79" s="2" t="s">
        <v>16</v>
      </c>
      <c r="E79" s="2" t="s">
        <v>10</v>
      </c>
      <c r="F79" s="2">
        <v>8</v>
      </c>
      <c r="G79" s="5">
        <v>0</v>
      </c>
      <c r="H79" s="5">
        <f t="shared" si="1"/>
        <v>0</v>
      </c>
      <c r="I79" s="2" t="s">
        <v>23</v>
      </c>
    </row>
    <row r="80" spans="1:9">
      <c r="A80" s="12" t="s">
        <v>186</v>
      </c>
      <c r="B80" s="12"/>
      <c r="C80" s="2" t="s">
        <v>8</v>
      </c>
      <c r="D80" s="2" t="s">
        <v>9</v>
      </c>
      <c r="E80" s="2" t="s">
        <v>10</v>
      </c>
      <c r="F80" s="2">
        <v>6</v>
      </c>
      <c r="G80" s="5">
        <v>8809.18</v>
      </c>
      <c r="H80" s="5">
        <f t="shared" si="1"/>
        <v>52855.08</v>
      </c>
      <c r="I80" s="2" t="s">
        <v>29</v>
      </c>
    </row>
    <row r="81" spans="1:9">
      <c r="A81" s="12" t="s">
        <v>186</v>
      </c>
      <c r="B81" s="12"/>
      <c r="C81" s="2" t="s">
        <v>8</v>
      </c>
      <c r="D81" s="2" t="s">
        <v>26</v>
      </c>
      <c r="E81" s="2" t="s">
        <v>10</v>
      </c>
      <c r="F81" s="2">
        <v>7</v>
      </c>
      <c r="G81" s="5">
        <v>14907.33</v>
      </c>
      <c r="H81" s="5">
        <f t="shared" si="1"/>
        <v>104351.31</v>
      </c>
      <c r="I81" s="2" t="s">
        <v>21</v>
      </c>
    </row>
    <row r="82" spans="1:9">
      <c r="A82" s="12" t="s">
        <v>187</v>
      </c>
      <c r="B82" s="12"/>
      <c r="C82" s="2" t="s">
        <v>40</v>
      </c>
      <c r="D82" s="2" t="s">
        <v>31</v>
      </c>
      <c r="E82" s="2" t="s">
        <v>20</v>
      </c>
      <c r="F82" s="2">
        <v>4</v>
      </c>
      <c r="G82" s="5">
        <v>49113.74</v>
      </c>
      <c r="H82" s="5">
        <f t="shared" si="1"/>
        <v>196454.96</v>
      </c>
      <c r="I82" s="2" t="s">
        <v>27</v>
      </c>
    </row>
    <row r="83" spans="1:9">
      <c r="A83" s="12" t="s">
        <v>187</v>
      </c>
      <c r="B83" s="12"/>
      <c r="C83" s="2" t="s">
        <v>28</v>
      </c>
      <c r="D83" s="2" t="s">
        <v>19</v>
      </c>
      <c r="E83" s="2" t="s">
        <v>20</v>
      </c>
      <c r="F83" s="2">
        <v>10</v>
      </c>
      <c r="G83" s="5">
        <v>85269.65</v>
      </c>
      <c r="H83" s="5">
        <f t="shared" si="1"/>
        <v>852696.5</v>
      </c>
      <c r="I83" s="2" t="s">
        <v>23</v>
      </c>
    </row>
    <row r="84" spans="1:9">
      <c r="A84" s="12" t="s">
        <v>188</v>
      </c>
      <c r="B84" s="12"/>
      <c r="C84" s="2" t="s">
        <v>28</v>
      </c>
      <c r="D84" s="2" t="s">
        <v>36</v>
      </c>
      <c r="E84" s="2" t="s">
        <v>14</v>
      </c>
      <c r="F84" s="2">
        <v>6</v>
      </c>
      <c r="G84" s="5">
        <v>320845.82</v>
      </c>
      <c r="H84" s="5">
        <f t="shared" si="1"/>
        <v>1925074.92</v>
      </c>
      <c r="I84" s="2" t="s">
        <v>43</v>
      </c>
    </row>
    <row r="85" spans="1:9">
      <c r="A85" s="12" t="s">
        <v>188</v>
      </c>
      <c r="B85" s="12"/>
      <c r="C85" s="2" t="s">
        <v>130</v>
      </c>
      <c r="D85" s="2" t="s">
        <v>34</v>
      </c>
      <c r="E85" s="2" t="s">
        <v>14</v>
      </c>
      <c r="F85" s="2">
        <v>5</v>
      </c>
      <c r="G85" s="5">
        <v>0</v>
      </c>
      <c r="H85" s="5">
        <f t="shared" si="1"/>
        <v>0</v>
      </c>
      <c r="I85" s="2" t="s">
        <v>29</v>
      </c>
    </row>
    <row r="86" spans="1:9">
      <c r="A86" s="12" t="s">
        <v>188</v>
      </c>
      <c r="B86" s="12"/>
      <c r="C86" s="2" t="s">
        <v>131</v>
      </c>
      <c r="D86" s="2" t="s">
        <v>27</v>
      </c>
      <c r="E86" s="2" t="s">
        <v>20</v>
      </c>
      <c r="F86" s="2">
        <v>6</v>
      </c>
      <c r="G86" s="5">
        <v>42407.83</v>
      </c>
      <c r="H86" s="5">
        <f t="shared" si="1"/>
        <v>254446.98</v>
      </c>
      <c r="I86" s="2" t="s">
        <v>27</v>
      </c>
    </row>
    <row r="87" spans="1:9">
      <c r="A87" s="12" t="s">
        <v>189</v>
      </c>
      <c r="B87" s="12"/>
      <c r="C87" s="2" t="s">
        <v>129</v>
      </c>
      <c r="D87" s="2" t="s">
        <v>34</v>
      </c>
      <c r="E87" s="2" t="s">
        <v>14</v>
      </c>
      <c r="F87" s="2">
        <v>1</v>
      </c>
      <c r="G87" s="5">
        <v>0</v>
      </c>
      <c r="H87" s="5">
        <f t="shared" si="1"/>
        <v>0</v>
      </c>
      <c r="I87" s="2" t="s">
        <v>23</v>
      </c>
    </row>
    <row r="88" spans="1:9">
      <c r="A88" s="12" t="s">
        <v>189</v>
      </c>
      <c r="B88" s="12"/>
      <c r="C88" s="2" t="s">
        <v>40</v>
      </c>
      <c r="D88" s="2" t="s">
        <v>9</v>
      </c>
      <c r="E88" s="2" t="s">
        <v>10</v>
      </c>
      <c r="F88" s="2">
        <v>1</v>
      </c>
      <c r="G88" s="5">
        <v>9102.31</v>
      </c>
      <c r="H88" s="5">
        <f t="shared" si="1"/>
        <v>9102.31</v>
      </c>
      <c r="I88" s="2" t="s">
        <v>17</v>
      </c>
    </row>
    <row r="89" spans="1:9">
      <c r="A89" s="12" t="s">
        <v>190</v>
      </c>
      <c r="B89" s="12"/>
      <c r="C89" s="2" t="s">
        <v>8</v>
      </c>
      <c r="D89" s="2" t="s">
        <v>27</v>
      </c>
      <c r="E89" s="2" t="s">
        <v>10</v>
      </c>
      <c r="F89" s="2">
        <v>3</v>
      </c>
      <c r="G89" s="5">
        <v>0</v>
      </c>
      <c r="H89" s="5">
        <f t="shared" si="1"/>
        <v>0</v>
      </c>
      <c r="I89" s="2" t="s">
        <v>27</v>
      </c>
    </row>
    <row r="90" spans="1:9">
      <c r="A90" s="12" t="s">
        <v>191</v>
      </c>
      <c r="B90" s="12"/>
      <c r="C90" s="2" t="s">
        <v>8</v>
      </c>
      <c r="D90" s="2" t="s">
        <v>16</v>
      </c>
      <c r="E90" s="2" t="s">
        <v>10</v>
      </c>
      <c r="F90" s="2">
        <v>4</v>
      </c>
      <c r="G90" s="5">
        <v>11086.19</v>
      </c>
      <c r="H90" s="5">
        <f t="shared" si="1"/>
        <v>44344.76</v>
      </c>
      <c r="I90" s="2" t="s">
        <v>21</v>
      </c>
    </row>
    <row r="91" spans="1:9">
      <c r="A91" s="12" t="s">
        <v>192</v>
      </c>
      <c r="B91" s="12"/>
      <c r="C91" s="2" t="s">
        <v>129</v>
      </c>
      <c r="D91" s="2" t="s">
        <v>36</v>
      </c>
      <c r="E91" s="2" t="s">
        <v>14</v>
      </c>
      <c r="F91" s="2">
        <v>3</v>
      </c>
      <c r="G91" s="5">
        <v>343709.26</v>
      </c>
      <c r="H91" s="5">
        <f t="shared" si="1"/>
        <v>1031127.78</v>
      </c>
      <c r="I91" s="2" t="s">
        <v>29</v>
      </c>
    </row>
    <row r="92" spans="1:9">
      <c r="A92" s="12" t="s">
        <v>193</v>
      </c>
      <c r="B92" s="12"/>
      <c r="C92" s="2" t="s">
        <v>128</v>
      </c>
      <c r="D92" s="2" t="s">
        <v>31</v>
      </c>
      <c r="E92" s="2" t="s">
        <v>20</v>
      </c>
      <c r="F92" s="2">
        <v>4</v>
      </c>
      <c r="G92" s="5">
        <v>49205.08</v>
      </c>
      <c r="H92" s="5">
        <f t="shared" si="1"/>
        <v>196820.32</v>
      </c>
      <c r="I92" s="2" t="s">
        <v>29</v>
      </c>
    </row>
    <row r="93" spans="1:9">
      <c r="A93" s="12" t="s">
        <v>194</v>
      </c>
      <c r="B93" s="12"/>
      <c r="C93" s="2" t="s">
        <v>128</v>
      </c>
      <c r="D93" s="2" t="s">
        <v>13</v>
      </c>
      <c r="E93" s="2" t="s">
        <v>14</v>
      </c>
      <c r="F93" s="2">
        <v>4</v>
      </c>
      <c r="G93" s="5">
        <v>102358.45</v>
      </c>
      <c r="H93" s="5">
        <f t="shared" si="1"/>
        <v>409433.8</v>
      </c>
      <c r="I93" s="2" t="s">
        <v>43</v>
      </c>
    </row>
    <row r="94" spans="1:9">
      <c r="A94" s="12" t="s">
        <v>194</v>
      </c>
      <c r="B94" s="12"/>
      <c r="C94" s="2" t="s">
        <v>129</v>
      </c>
      <c r="D94" s="2" t="s">
        <v>19</v>
      </c>
      <c r="E94" s="2" t="s">
        <v>20</v>
      </c>
      <c r="F94" s="2">
        <v>3</v>
      </c>
      <c r="G94" s="5">
        <v>89308.63</v>
      </c>
      <c r="H94" s="5">
        <f t="shared" si="1"/>
        <v>267925.89</v>
      </c>
      <c r="I94" s="2" t="s">
        <v>21</v>
      </c>
    </row>
    <row r="95" spans="1:9">
      <c r="A95" s="12" t="s">
        <v>195</v>
      </c>
      <c r="B95" s="12"/>
      <c r="C95" s="2" t="s">
        <v>130</v>
      </c>
      <c r="D95" s="2" t="s">
        <v>19</v>
      </c>
      <c r="E95" s="2" t="s">
        <v>20</v>
      </c>
      <c r="F95" s="2">
        <v>5</v>
      </c>
      <c r="G95" s="5">
        <v>77011.75</v>
      </c>
      <c r="H95" s="5">
        <f t="shared" si="1"/>
        <v>385058.75</v>
      </c>
      <c r="I95" s="2" t="s">
        <v>23</v>
      </c>
    </row>
    <row r="96" spans="1:9">
      <c r="A96" s="12" t="s">
        <v>195</v>
      </c>
      <c r="B96" s="12"/>
      <c r="C96" s="2" t="s">
        <v>28</v>
      </c>
      <c r="D96" s="2" t="s">
        <v>26</v>
      </c>
      <c r="E96" s="2" t="s">
        <v>10</v>
      </c>
      <c r="F96" s="2">
        <v>3</v>
      </c>
      <c r="G96" s="5">
        <v>14627.54</v>
      </c>
      <c r="H96" s="5">
        <f t="shared" si="1"/>
        <v>43882.62</v>
      </c>
      <c r="I96" s="2" t="s">
        <v>21</v>
      </c>
    </row>
    <row r="97" spans="1:9">
      <c r="A97" s="12" t="s">
        <v>195</v>
      </c>
      <c r="B97" s="12"/>
      <c r="C97" s="2" t="s">
        <v>129</v>
      </c>
      <c r="D97" s="2" t="s">
        <v>13</v>
      </c>
      <c r="E97" s="2" t="s">
        <v>14</v>
      </c>
      <c r="F97" s="2">
        <v>9</v>
      </c>
      <c r="G97" s="5">
        <v>81867.19</v>
      </c>
      <c r="H97" s="5">
        <f t="shared" si="1"/>
        <v>736804.71</v>
      </c>
      <c r="I97" s="2" t="s">
        <v>23</v>
      </c>
    </row>
    <row r="98" spans="1:9">
      <c r="A98" s="12" t="s">
        <v>195</v>
      </c>
      <c r="B98" s="12"/>
      <c r="C98" s="2" t="s">
        <v>129</v>
      </c>
      <c r="D98" s="2" t="s">
        <v>26</v>
      </c>
      <c r="E98" s="2" t="s">
        <v>10</v>
      </c>
      <c r="F98" s="2">
        <v>-1</v>
      </c>
      <c r="G98" s="5">
        <v>15069.49</v>
      </c>
      <c r="H98" s="5">
        <f t="shared" si="1"/>
        <v>-15069.49</v>
      </c>
      <c r="I98" s="2" t="s">
        <v>21</v>
      </c>
    </row>
    <row r="99" spans="1:9">
      <c r="A99" s="12" t="s">
        <v>195</v>
      </c>
      <c r="B99" s="12"/>
      <c r="C99" s="2" t="s">
        <v>40</v>
      </c>
      <c r="D99" s="2" t="s">
        <v>16</v>
      </c>
      <c r="E99" s="2" t="s">
        <v>10</v>
      </c>
      <c r="F99" s="2">
        <v>7</v>
      </c>
      <c r="G99" s="5">
        <v>11015.52</v>
      </c>
      <c r="H99" s="5">
        <f t="shared" si="1"/>
        <v>77108.639999999999</v>
      </c>
      <c r="I99" s="2" t="s">
        <v>23</v>
      </c>
    </row>
    <row r="100" spans="1:9">
      <c r="A100" s="12" t="s">
        <v>196</v>
      </c>
      <c r="B100" s="12"/>
      <c r="C100" s="2" t="s">
        <v>40</v>
      </c>
      <c r="D100" s="2" t="s">
        <v>13</v>
      </c>
      <c r="E100" s="2" t="s">
        <v>14</v>
      </c>
      <c r="F100" s="2">
        <v>3</v>
      </c>
      <c r="G100" s="5">
        <v>88708.41</v>
      </c>
      <c r="H100" s="5">
        <f t="shared" si="1"/>
        <v>266125.23</v>
      </c>
      <c r="I100" s="2" t="s">
        <v>23</v>
      </c>
    </row>
    <row r="101" spans="1:9">
      <c r="A101" s="12" t="s">
        <v>196</v>
      </c>
      <c r="B101" s="12"/>
      <c r="C101" s="2" t="s">
        <v>28</v>
      </c>
      <c r="D101" s="2" t="s">
        <v>13</v>
      </c>
      <c r="E101" s="2" t="s">
        <v>14</v>
      </c>
      <c r="F101" s="2">
        <v>10</v>
      </c>
      <c r="G101" s="5">
        <v>105158.68</v>
      </c>
      <c r="H101" s="5">
        <f t="shared" si="1"/>
        <v>1051586.7999999998</v>
      </c>
      <c r="I101" s="2" t="s">
        <v>23</v>
      </c>
    </row>
    <row r="102" spans="1:9">
      <c r="A102" s="12" t="s">
        <v>197</v>
      </c>
      <c r="B102" s="12"/>
      <c r="C102" s="2" t="s">
        <v>40</v>
      </c>
      <c r="D102" s="2" t="s">
        <v>31</v>
      </c>
      <c r="E102" s="2" t="s">
        <v>20</v>
      </c>
      <c r="F102" s="2">
        <v>6</v>
      </c>
      <c r="G102" s="5">
        <v>0</v>
      </c>
      <c r="H102" s="5">
        <f t="shared" si="1"/>
        <v>0</v>
      </c>
      <c r="I102" s="2" t="s">
        <v>29</v>
      </c>
    </row>
    <row r="103" spans="1:9">
      <c r="A103" s="12" t="s">
        <v>197</v>
      </c>
      <c r="B103" s="12"/>
      <c r="C103" s="2" t="s">
        <v>127</v>
      </c>
      <c r="D103" s="2" t="s">
        <v>13</v>
      </c>
      <c r="E103" s="2" t="s">
        <v>14</v>
      </c>
      <c r="F103" s="2">
        <v>2</v>
      </c>
      <c r="G103" s="5">
        <v>102325.79</v>
      </c>
      <c r="H103" s="5">
        <f t="shared" si="1"/>
        <v>204651.58</v>
      </c>
      <c r="I103" s="2" t="s">
        <v>29</v>
      </c>
    </row>
    <row r="104" spans="1:9">
      <c r="A104" s="12" t="s">
        <v>198</v>
      </c>
      <c r="B104" s="12"/>
      <c r="C104" s="2" t="s">
        <v>128</v>
      </c>
      <c r="D104" s="2" t="s">
        <v>31</v>
      </c>
      <c r="E104" s="2" t="s">
        <v>20</v>
      </c>
      <c r="F104" s="2">
        <v>10</v>
      </c>
      <c r="G104" s="5">
        <v>46682.23</v>
      </c>
      <c r="H104" s="5">
        <f t="shared" si="1"/>
        <v>466822.30000000005</v>
      </c>
      <c r="I104" s="2" t="s">
        <v>29</v>
      </c>
    </row>
    <row r="105" spans="1:9">
      <c r="A105" s="12" t="s">
        <v>198</v>
      </c>
      <c r="B105" s="12"/>
      <c r="C105" s="2" t="s">
        <v>40</v>
      </c>
      <c r="D105" s="2" t="s">
        <v>31</v>
      </c>
      <c r="E105" s="2" t="s">
        <v>20</v>
      </c>
      <c r="F105" s="2">
        <v>3</v>
      </c>
      <c r="G105" s="5">
        <v>43273.57</v>
      </c>
      <c r="H105" s="5">
        <f t="shared" si="1"/>
        <v>129820.70999999999</v>
      </c>
      <c r="I105" s="2" t="s">
        <v>23</v>
      </c>
    </row>
    <row r="106" spans="1:9">
      <c r="A106" s="12" t="s">
        <v>198</v>
      </c>
      <c r="B106" s="12"/>
      <c r="C106" s="2" t="s">
        <v>8</v>
      </c>
      <c r="D106" s="2" t="s">
        <v>9</v>
      </c>
      <c r="E106" s="2" t="s">
        <v>10</v>
      </c>
      <c r="F106" s="2">
        <v>5</v>
      </c>
      <c r="G106" s="5">
        <v>8544.4</v>
      </c>
      <c r="H106" s="5">
        <f t="shared" si="1"/>
        <v>42722</v>
      </c>
      <c r="I106" s="2" t="s">
        <v>29</v>
      </c>
    </row>
    <row r="107" spans="1:9">
      <c r="A107" s="12" t="s">
        <v>198</v>
      </c>
      <c r="B107" s="12"/>
      <c r="C107" s="2" t="s">
        <v>130</v>
      </c>
      <c r="D107" s="2" t="s">
        <v>16</v>
      </c>
      <c r="E107" s="2" t="s">
        <v>10</v>
      </c>
      <c r="F107" s="2">
        <v>1</v>
      </c>
      <c r="G107" s="5">
        <v>0</v>
      </c>
      <c r="H107" s="5">
        <f t="shared" si="1"/>
        <v>0</v>
      </c>
      <c r="I107" s="2" t="s">
        <v>23</v>
      </c>
    </row>
    <row r="108" spans="1:9">
      <c r="A108" s="12" t="s">
        <v>199</v>
      </c>
      <c r="B108" s="12"/>
      <c r="C108" s="2" t="s">
        <v>40</v>
      </c>
      <c r="D108" s="2" t="s">
        <v>27</v>
      </c>
      <c r="E108" s="2" t="s">
        <v>10</v>
      </c>
      <c r="F108" s="2">
        <v>7</v>
      </c>
      <c r="G108" s="5">
        <v>11798.53</v>
      </c>
      <c r="H108" s="5">
        <f t="shared" si="1"/>
        <v>82589.710000000006</v>
      </c>
      <c r="I108" s="2" t="s">
        <v>23</v>
      </c>
    </row>
    <row r="109" spans="1:9">
      <c r="A109" s="12" t="s">
        <v>199</v>
      </c>
      <c r="B109" s="12"/>
      <c r="C109" s="2" t="s">
        <v>28</v>
      </c>
      <c r="D109" s="2" t="s">
        <v>13</v>
      </c>
      <c r="E109" s="2" t="s">
        <v>14</v>
      </c>
      <c r="F109" s="2">
        <v>10</v>
      </c>
      <c r="G109" s="5">
        <v>0</v>
      </c>
      <c r="H109" s="5">
        <f t="shared" si="1"/>
        <v>0</v>
      </c>
      <c r="I109" s="2" t="s">
        <v>43</v>
      </c>
    </row>
    <row r="110" spans="1:9">
      <c r="A110" s="12" t="s">
        <v>199</v>
      </c>
      <c r="B110" s="12"/>
      <c r="C110" s="2" t="s">
        <v>128</v>
      </c>
      <c r="D110" s="2" t="s">
        <v>19</v>
      </c>
      <c r="E110" s="2" t="s">
        <v>20</v>
      </c>
      <c r="F110" s="2">
        <v>7</v>
      </c>
      <c r="G110" s="5">
        <v>0</v>
      </c>
      <c r="H110" s="5">
        <f t="shared" si="1"/>
        <v>0</v>
      </c>
      <c r="I110" s="2" t="s">
        <v>29</v>
      </c>
    </row>
    <row r="111" spans="1:9">
      <c r="A111" s="12" t="s">
        <v>199</v>
      </c>
      <c r="B111" s="12"/>
      <c r="C111" s="2" t="s">
        <v>130</v>
      </c>
      <c r="D111" s="2" t="s">
        <v>16</v>
      </c>
      <c r="E111" s="2" t="s">
        <v>10</v>
      </c>
      <c r="F111" s="2">
        <v>-2</v>
      </c>
      <c r="G111" s="5">
        <v>11530.56</v>
      </c>
      <c r="H111" s="5">
        <f t="shared" si="1"/>
        <v>-23061.119999999999</v>
      </c>
      <c r="I111" s="2" t="s">
        <v>27</v>
      </c>
    </row>
    <row r="112" spans="1:9">
      <c r="A112" s="12" t="s">
        <v>200</v>
      </c>
      <c r="B112" s="12"/>
      <c r="C112" s="2" t="s">
        <v>128</v>
      </c>
      <c r="D112" s="2" t="s">
        <v>16</v>
      </c>
      <c r="E112" s="2" t="s">
        <v>10</v>
      </c>
      <c r="F112" s="2">
        <v>4</v>
      </c>
      <c r="G112" s="5">
        <v>12451.69</v>
      </c>
      <c r="H112" s="5">
        <f t="shared" si="1"/>
        <v>49806.76</v>
      </c>
      <c r="I112" s="2" t="s">
        <v>17</v>
      </c>
    </row>
    <row r="113" spans="1:9">
      <c r="A113" s="12" t="s">
        <v>200</v>
      </c>
      <c r="B113" s="12"/>
      <c r="C113" s="2" t="s">
        <v>129</v>
      </c>
      <c r="D113" s="2" t="s">
        <v>26</v>
      </c>
      <c r="E113" s="2" t="s">
        <v>10</v>
      </c>
      <c r="F113" s="2">
        <v>-2</v>
      </c>
      <c r="G113" s="5">
        <v>14932.05</v>
      </c>
      <c r="H113" s="5">
        <f t="shared" si="1"/>
        <v>-29864.1</v>
      </c>
      <c r="I113" s="2" t="s">
        <v>23</v>
      </c>
    </row>
    <row r="114" spans="1:9">
      <c r="A114" s="12" t="s">
        <v>201</v>
      </c>
      <c r="B114" s="12"/>
      <c r="C114" s="2" t="s">
        <v>128</v>
      </c>
      <c r="D114" s="2" t="s">
        <v>34</v>
      </c>
      <c r="E114" s="2" t="s">
        <v>14</v>
      </c>
      <c r="F114" s="2">
        <v>7</v>
      </c>
      <c r="G114" s="5">
        <v>206884.76</v>
      </c>
      <c r="H114" s="5">
        <f t="shared" si="1"/>
        <v>1448193.32</v>
      </c>
      <c r="I114" s="2" t="s">
        <v>27</v>
      </c>
    </row>
    <row r="115" spans="1:9">
      <c r="A115" s="12" t="s">
        <v>201</v>
      </c>
      <c r="B115" s="12"/>
      <c r="C115" s="2" t="s">
        <v>28</v>
      </c>
      <c r="D115" s="2" t="s">
        <v>19</v>
      </c>
      <c r="E115" s="2" t="s">
        <v>20</v>
      </c>
      <c r="F115" s="2">
        <v>2</v>
      </c>
      <c r="G115" s="5">
        <v>0</v>
      </c>
      <c r="H115" s="5">
        <f t="shared" si="1"/>
        <v>0</v>
      </c>
      <c r="I115" s="2" t="s">
        <v>43</v>
      </c>
    </row>
    <row r="116" spans="1:9">
      <c r="A116" s="12" t="s">
        <v>202</v>
      </c>
      <c r="B116" s="12"/>
      <c r="C116" s="2" t="s">
        <v>127</v>
      </c>
      <c r="D116" s="2" t="s">
        <v>19</v>
      </c>
      <c r="E116" s="2" t="s">
        <v>20</v>
      </c>
      <c r="F116" s="2">
        <v>6</v>
      </c>
      <c r="G116" s="5">
        <v>71697.23</v>
      </c>
      <c r="H116" s="5">
        <f t="shared" si="1"/>
        <v>430183.38</v>
      </c>
      <c r="I116" s="2" t="s">
        <v>17</v>
      </c>
    </row>
    <row r="117" spans="1:9">
      <c r="A117" s="12" t="s">
        <v>203</v>
      </c>
      <c r="B117" s="12"/>
      <c r="C117" s="2" t="s">
        <v>28</v>
      </c>
      <c r="D117" s="2" t="s">
        <v>9</v>
      </c>
      <c r="E117" s="2" t="s">
        <v>10</v>
      </c>
      <c r="F117" s="2">
        <v>3</v>
      </c>
      <c r="G117" s="5">
        <v>7783.4</v>
      </c>
      <c r="H117" s="5">
        <f t="shared" si="1"/>
        <v>23350.199999999997</v>
      </c>
      <c r="I117" s="2" t="s">
        <v>43</v>
      </c>
    </row>
    <row r="118" spans="1:9">
      <c r="A118" s="12" t="s">
        <v>203</v>
      </c>
      <c r="B118" s="12"/>
      <c r="C118" s="2" t="s">
        <v>8</v>
      </c>
      <c r="D118" s="2" t="s">
        <v>27</v>
      </c>
      <c r="E118" s="2" t="s">
        <v>20</v>
      </c>
      <c r="F118" s="2">
        <v>-2</v>
      </c>
      <c r="G118" s="5">
        <v>40092.550000000003</v>
      </c>
      <c r="H118" s="5">
        <f t="shared" si="1"/>
        <v>-80185.100000000006</v>
      </c>
      <c r="I118" s="2" t="s">
        <v>27</v>
      </c>
    </row>
    <row r="119" spans="1:9">
      <c r="A119" s="12" t="s">
        <v>204</v>
      </c>
      <c r="B119" s="12"/>
      <c r="C119" s="2" t="s">
        <v>40</v>
      </c>
      <c r="D119" s="2" t="s">
        <v>31</v>
      </c>
      <c r="E119" s="2" t="s">
        <v>20</v>
      </c>
      <c r="F119" s="2">
        <v>10</v>
      </c>
      <c r="G119" s="5">
        <v>49490.85</v>
      </c>
      <c r="H119" s="5">
        <f t="shared" si="1"/>
        <v>494908.5</v>
      </c>
      <c r="I119" s="2" t="s">
        <v>23</v>
      </c>
    </row>
    <row r="120" spans="1:9">
      <c r="A120" s="12" t="s">
        <v>205</v>
      </c>
      <c r="B120" s="12"/>
      <c r="C120" s="2" t="s">
        <v>130</v>
      </c>
      <c r="D120" s="2"/>
      <c r="E120" s="2" t="s">
        <v>10</v>
      </c>
      <c r="F120" s="2">
        <v>5</v>
      </c>
      <c r="G120" s="5">
        <v>0</v>
      </c>
      <c r="H120" s="5">
        <f t="shared" si="1"/>
        <v>0</v>
      </c>
      <c r="I120" s="2" t="s">
        <v>29</v>
      </c>
    </row>
    <row r="121" spans="1:9">
      <c r="A121" s="12" t="s">
        <v>205</v>
      </c>
      <c r="B121" s="12"/>
      <c r="C121" s="2" t="s">
        <v>128</v>
      </c>
      <c r="D121" s="2" t="s">
        <v>13</v>
      </c>
      <c r="E121" s="2" t="s">
        <v>14</v>
      </c>
      <c r="F121" s="2">
        <v>6</v>
      </c>
      <c r="G121" s="5">
        <v>105821.36</v>
      </c>
      <c r="H121" s="5">
        <f t="shared" si="1"/>
        <v>634928.16</v>
      </c>
      <c r="I121" s="2" t="s">
        <v>17</v>
      </c>
    </row>
    <row r="122" spans="1:9">
      <c r="A122" s="12" t="s">
        <v>206</v>
      </c>
      <c r="B122" s="12"/>
      <c r="C122" s="2" t="s">
        <v>127</v>
      </c>
      <c r="D122" s="2" t="s">
        <v>13</v>
      </c>
      <c r="E122" s="2" t="s">
        <v>14</v>
      </c>
      <c r="F122" s="2">
        <v>1</v>
      </c>
      <c r="G122" s="5">
        <v>108357.95</v>
      </c>
      <c r="H122" s="5">
        <f t="shared" si="1"/>
        <v>108357.95</v>
      </c>
      <c r="I122" s="2" t="s">
        <v>27</v>
      </c>
    </row>
    <row r="123" spans="1:9">
      <c r="A123" s="12" t="s">
        <v>207</v>
      </c>
      <c r="B123" s="12"/>
      <c r="C123" s="2" t="s">
        <v>129</v>
      </c>
      <c r="D123" s="2" t="s">
        <v>19</v>
      </c>
      <c r="E123" s="2" t="s">
        <v>20</v>
      </c>
      <c r="F123" s="2">
        <v>8</v>
      </c>
      <c r="G123" s="5">
        <v>0</v>
      </c>
      <c r="H123" s="5">
        <f t="shared" si="1"/>
        <v>0</v>
      </c>
      <c r="I123" s="2" t="s">
        <v>23</v>
      </c>
    </row>
    <row r="124" spans="1:9">
      <c r="A124" s="12" t="s">
        <v>208</v>
      </c>
      <c r="B124" s="12"/>
      <c r="C124" s="2" t="s">
        <v>129</v>
      </c>
      <c r="D124" s="2" t="s">
        <v>34</v>
      </c>
      <c r="E124" s="2" t="s">
        <v>14</v>
      </c>
      <c r="F124" s="2">
        <v>5</v>
      </c>
      <c r="G124" s="5">
        <v>0</v>
      </c>
      <c r="H124" s="5">
        <f t="shared" si="1"/>
        <v>0</v>
      </c>
      <c r="I124" s="2" t="s">
        <v>29</v>
      </c>
    </row>
    <row r="125" spans="1:9">
      <c r="A125" s="12" t="s">
        <v>209</v>
      </c>
      <c r="B125" s="12"/>
      <c r="C125" s="2" t="s">
        <v>8</v>
      </c>
      <c r="D125" s="2" t="s">
        <v>34</v>
      </c>
      <c r="E125" s="2" t="s">
        <v>14</v>
      </c>
      <c r="F125" s="2">
        <v>2</v>
      </c>
      <c r="G125" s="5">
        <v>181314.89</v>
      </c>
      <c r="H125" s="5">
        <f t="shared" si="1"/>
        <v>362629.78</v>
      </c>
      <c r="I125" s="2" t="s">
        <v>21</v>
      </c>
    </row>
    <row r="126" spans="1:9">
      <c r="A126" s="12" t="s">
        <v>209</v>
      </c>
      <c r="B126" s="12"/>
      <c r="C126" s="2" t="s">
        <v>130</v>
      </c>
      <c r="D126" s="2" t="s">
        <v>9</v>
      </c>
      <c r="E126" s="2" t="s">
        <v>10</v>
      </c>
      <c r="F126" s="2">
        <v>9</v>
      </c>
      <c r="G126" s="5">
        <v>8132.34</v>
      </c>
      <c r="H126" s="5">
        <f t="shared" si="1"/>
        <v>73191.06</v>
      </c>
      <c r="I126" s="2" t="s">
        <v>21</v>
      </c>
    </row>
    <row r="127" spans="1:9">
      <c r="A127" s="12" t="s">
        <v>210</v>
      </c>
      <c r="B127" s="12"/>
      <c r="C127" s="2" t="s">
        <v>129</v>
      </c>
      <c r="D127" s="2" t="s">
        <v>16</v>
      </c>
      <c r="E127" s="2" t="s">
        <v>10</v>
      </c>
      <c r="F127" s="2">
        <v>5</v>
      </c>
      <c r="G127" s="5">
        <v>11907.84</v>
      </c>
      <c r="H127" s="5">
        <f t="shared" si="1"/>
        <v>59539.199999999997</v>
      </c>
      <c r="I127" s="2" t="s">
        <v>27</v>
      </c>
    </row>
    <row r="128" spans="1:9">
      <c r="A128" s="12" t="s">
        <v>211</v>
      </c>
      <c r="B128" s="12"/>
      <c r="C128" s="2" t="s">
        <v>131</v>
      </c>
      <c r="D128" s="2" t="s">
        <v>26</v>
      </c>
      <c r="E128" s="2" t="s">
        <v>10</v>
      </c>
      <c r="F128" s="2">
        <v>5</v>
      </c>
      <c r="G128" s="5">
        <v>0</v>
      </c>
      <c r="H128" s="5">
        <f t="shared" si="1"/>
        <v>0</v>
      </c>
      <c r="I128" s="2" t="s">
        <v>43</v>
      </c>
    </row>
    <row r="129" spans="1:9">
      <c r="A129" s="12" t="s">
        <v>212</v>
      </c>
      <c r="B129" s="12"/>
      <c r="C129" s="2" t="s">
        <v>128</v>
      </c>
      <c r="D129" s="2" t="s">
        <v>13</v>
      </c>
      <c r="E129" s="2" t="s">
        <v>14</v>
      </c>
      <c r="F129" s="2">
        <v>2</v>
      </c>
      <c r="G129" s="5">
        <v>0</v>
      </c>
      <c r="H129" s="5">
        <f t="shared" si="1"/>
        <v>0</v>
      </c>
      <c r="I129" s="2" t="s">
        <v>21</v>
      </c>
    </row>
    <row r="130" spans="1:9">
      <c r="A130" s="12" t="s">
        <v>212</v>
      </c>
      <c r="B130" s="12"/>
      <c r="C130" s="2" t="s">
        <v>129</v>
      </c>
      <c r="D130" s="2" t="s">
        <v>27</v>
      </c>
      <c r="E130" s="2" t="s">
        <v>14</v>
      </c>
      <c r="F130" s="2">
        <v>10</v>
      </c>
      <c r="G130" s="5">
        <v>0</v>
      </c>
      <c r="H130" s="5">
        <f t="shared" si="1"/>
        <v>0</v>
      </c>
      <c r="I130" s="2" t="s">
        <v>29</v>
      </c>
    </row>
    <row r="131" spans="1:9">
      <c r="A131" s="12" t="s">
        <v>213</v>
      </c>
      <c r="B131" s="12"/>
      <c r="C131" s="2" t="s">
        <v>127</v>
      </c>
      <c r="D131" s="2" t="s">
        <v>31</v>
      </c>
      <c r="E131" s="2" t="s">
        <v>20</v>
      </c>
      <c r="F131" s="2">
        <v>7</v>
      </c>
      <c r="G131" s="5">
        <v>43599.72</v>
      </c>
      <c r="H131" s="5">
        <f t="shared" ref="H131:H194" si="2">F131*G131</f>
        <v>305198.04000000004</v>
      </c>
      <c r="I131" s="2" t="s">
        <v>43</v>
      </c>
    </row>
    <row r="132" spans="1:9">
      <c r="A132" s="12" t="s">
        <v>213</v>
      </c>
      <c r="B132" s="12"/>
      <c r="C132" s="2" t="s">
        <v>130</v>
      </c>
      <c r="D132" s="2" t="s">
        <v>31</v>
      </c>
      <c r="E132" s="2" t="s">
        <v>20</v>
      </c>
      <c r="F132" s="2">
        <v>2</v>
      </c>
      <c r="G132" s="5">
        <v>0</v>
      </c>
      <c r="H132" s="5">
        <f t="shared" si="2"/>
        <v>0</v>
      </c>
      <c r="I132" s="2" t="s">
        <v>23</v>
      </c>
    </row>
    <row r="133" spans="1:9">
      <c r="A133" s="12" t="s">
        <v>214</v>
      </c>
      <c r="B133" s="12"/>
      <c r="C133" s="2" t="s">
        <v>127</v>
      </c>
      <c r="D133" s="2" t="s">
        <v>26</v>
      </c>
      <c r="E133" s="2" t="s">
        <v>10</v>
      </c>
      <c r="F133" s="2">
        <v>2</v>
      </c>
      <c r="G133" s="5">
        <v>0</v>
      </c>
      <c r="H133" s="5">
        <f t="shared" si="2"/>
        <v>0</v>
      </c>
      <c r="I133" s="2" t="s">
        <v>29</v>
      </c>
    </row>
    <row r="134" spans="1:9">
      <c r="A134" s="12" t="s">
        <v>214</v>
      </c>
      <c r="B134" s="12"/>
      <c r="C134" s="2" t="s">
        <v>28</v>
      </c>
      <c r="D134" s="2" t="s">
        <v>34</v>
      </c>
      <c r="E134" s="2" t="s">
        <v>14</v>
      </c>
      <c r="F134" s="2">
        <v>6</v>
      </c>
      <c r="G134" s="5">
        <v>174757.36</v>
      </c>
      <c r="H134" s="5">
        <f t="shared" si="2"/>
        <v>1048544.1599999999</v>
      </c>
      <c r="I134" s="2" t="s">
        <v>29</v>
      </c>
    </row>
    <row r="135" spans="1:9">
      <c r="A135" s="12" t="s">
        <v>215</v>
      </c>
      <c r="B135" s="12"/>
      <c r="C135" s="2" t="s">
        <v>40</v>
      </c>
      <c r="D135" s="2" t="s">
        <v>16</v>
      </c>
      <c r="E135" s="2" t="s">
        <v>10</v>
      </c>
      <c r="F135" s="2">
        <v>8</v>
      </c>
      <c r="G135" s="5">
        <v>0</v>
      </c>
      <c r="H135" s="5">
        <f t="shared" si="2"/>
        <v>0</v>
      </c>
      <c r="I135" s="2" t="s">
        <v>43</v>
      </c>
    </row>
    <row r="136" spans="1:9">
      <c r="A136" s="12" t="s">
        <v>216</v>
      </c>
      <c r="B136" s="12"/>
      <c r="C136" s="2" t="s">
        <v>128</v>
      </c>
      <c r="D136" s="2" t="s">
        <v>13</v>
      </c>
      <c r="E136" s="2" t="s">
        <v>14</v>
      </c>
      <c r="F136" s="2">
        <v>7</v>
      </c>
      <c r="G136" s="5">
        <v>95535.15</v>
      </c>
      <c r="H136" s="5">
        <f t="shared" si="2"/>
        <v>668746.04999999993</v>
      </c>
      <c r="I136" s="2" t="s">
        <v>43</v>
      </c>
    </row>
    <row r="137" spans="1:9">
      <c r="A137" s="12" t="s">
        <v>216</v>
      </c>
      <c r="B137" s="12"/>
      <c r="C137" s="2" t="s">
        <v>130</v>
      </c>
      <c r="D137" s="2" t="s">
        <v>13</v>
      </c>
      <c r="E137" s="2" t="s">
        <v>14</v>
      </c>
      <c r="F137" s="2">
        <v>6</v>
      </c>
      <c r="G137" s="5">
        <v>0</v>
      </c>
      <c r="H137" s="5">
        <f t="shared" si="2"/>
        <v>0</v>
      </c>
      <c r="I137" s="2" t="s">
        <v>23</v>
      </c>
    </row>
    <row r="138" spans="1:9">
      <c r="A138" s="12" t="s">
        <v>217</v>
      </c>
      <c r="B138" s="12"/>
      <c r="C138" s="2" t="s">
        <v>127</v>
      </c>
      <c r="D138" s="2" t="s">
        <v>13</v>
      </c>
      <c r="E138" s="2" t="s">
        <v>14</v>
      </c>
      <c r="F138" s="2">
        <v>7</v>
      </c>
      <c r="G138" s="5">
        <v>100398.88</v>
      </c>
      <c r="H138" s="5">
        <f t="shared" si="2"/>
        <v>702792.16</v>
      </c>
      <c r="I138" s="2" t="s">
        <v>27</v>
      </c>
    </row>
    <row r="139" spans="1:9">
      <c r="A139" s="12" t="s">
        <v>218</v>
      </c>
      <c r="B139" s="12"/>
      <c r="C139" s="2" t="s">
        <v>131</v>
      </c>
      <c r="D139" s="2" t="s">
        <v>13</v>
      </c>
      <c r="E139" s="2" t="s">
        <v>14</v>
      </c>
      <c r="F139" s="2">
        <v>4</v>
      </c>
      <c r="G139" s="5">
        <v>100868.26</v>
      </c>
      <c r="H139" s="5">
        <f t="shared" si="2"/>
        <v>403473.04</v>
      </c>
      <c r="I139" s="2" t="s">
        <v>43</v>
      </c>
    </row>
    <row r="140" spans="1:9">
      <c r="A140" s="12" t="s">
        <v>219</v>
      </c>
      <c r="B140" s="12"/>
      <c r="C140" s="2" t="s">
        <v>130</v>
      </c>
      <c r="D140" s="2" t="s">
        <v>31</v>
      </c>
      <c r="E140" s="2" t="s">
        <v>20</v>
      </c>
      <c r="F140" s="2">
        <v>3</v>
      </c>
      <c r="G140" s="5">
        <v>0</v>
      </c>
      <c r="H140" s="5">
        <f t="shared" si="2"/>
        <v>0</v>
      </c>
      <c r="I140" s="2" t="s">
        <v>23</v>
      </c>
    </row>
    <row r="141" spans="1:9">
      <c r="A141" s="12" t="s">
        <v>220</v>
      </c>
      <c r="B141" s="12"/>
      <c r="C141" s="2" t="s">
        <v>129</v>
      </c>
      <c r="D141" s="2" t="s">
        <v>9</v>
      </c>
      <c r="E141" s="2" t="s">
        <v>10</v>
      </c>
      <c r="F141" s="2">
        <v>1</v>
      </c>
      <c r="G141" s="5">
        <v>7032.07</v>
      </c>
      <c r="H141" s="5">
        <f t="shared" si="2"/>
        <v>7032.07</v>
      </c>
      <c r="I141" s="2" t="s">
        <v>23</v>
      </c>
    </row>
    <row r="142" spans="1:9">
      <c r="A142" s="12" t="s">
        <v>221</v>
      </c>
      <c r="B142" s="12"/>
      <c r="C142" s="2" t="s">
        <v>130</v>
      </c>
      <c r="D142" s="2" t="s">
        <v>31</v>
      </c>
      <c r="E142" s="2" t="s">
        <v>20</v>
      </c>
      <c r="F142" s="2">
        <v>2</v>
      </c>
      <c r="G142" s="5">
        <v>41152.379999999997</v>
      </c>
      <c r="H142" s="5">
        <f t="shared" si="2"/>
        <v>82304.759999999995</v>
      </c>
      <c r="I142" s="2" t="s">
        <v>29</v>
      </c>
    </row>
    <row r="143" spans="1:9">
      <c r="A143" s="12" t="s">
        <v>222</v>
      </c>
      <c r="B143" s="12"/>
      <c r="C143" s="2" t="s">
        <v>127</v>
      </c>
      <c r="D143" s="2" t="s">
        <v>9</v>
      </c>
      <c r="E143" s="2" t="s">
        <v>10</v>
      </c>
      <c r="F143" s="2">
        <v>5</v>
      </c>
      <c r="G143" s="5">
        <v>9141.57</v>
      </c>
      <c r="H143" s="5">
        <f t="shared" si="2"/>
        <v>45707.85</v>
      </c>
      <c r="I143" s="2" t="s">
        <v>29</v>
      </c>
    </row>
    <row r="144" spans="1:9">
      <c r="A144" s="12" t="s">
        <v>223</v>
      </c>
      <c r="B144" s="12"/>
      <c r="C144" s="2" t="s">
        <v>40</v>
      </c>
      <c r="D144" s="2" t="s">
        <v>31</v>
      </c>
      <c r="E144" s="2" t="s">
        <v>20</v>
      </c>
      <c r="F144" s="2">
        <v>4</v>
      </c>
      <c r="G144" s="5">
        <v>38949.17</v>
      </c>
      <c r="H144" s="5">
        <f t="shared" si="2"/>
        <v>155796.68</v>
      </c>
      <c r="I144" s="2" t="s">
        <v>23</v>
      </c>
    </row>
    <row r="145" spans="1:9">
      <c r="A145" s="12" t="s">
        <v>223</v>
      </c>
      <c r="B145" s="12"/>
      <c r="C145" s="2" t="s">
        <v>128</v>
      </c>
      <c r="D145" s="2" t="s">
        <v>19</v>
      </c>
      <c r="E145" s="2" t="s">
        <v>20</v>
      </c>
      <c r="F145" s="2">
        <v>3</v>
      </c>
      <c r="G145" s="5">
        <v>0</v>
      </c>
      <c r="H145" s="5">
        <f t="shared" si="2"/>
        <v>0</v>
      </c>
      <c r="I145" s="2" t="s">
        <v>23</v>
      </c>
    </row>
    <row r="146" spans="1:9">
      <c r="A146" s="12" t="s">
        <v>224</v>
      </c>
      <c r="B146" s="12"/>
      <c r="C146" s="2" t="s">
        <v>128</v>
      </c>
      <c r="D146" s="2" t="s">
        <v>19</v>
      </c>
      <c r="E146" s="2" t="s">
        <v>20</v>
      </c>
      <c r="F146" s="2">
        <v>10</v>
      </c>
      <c r="G146" s="5">
        <v>90314.29</v>
      </c>
      <c r="H146" s="5">
        <f t="shared" si="2"/>
        <v>903142.89999999991</v>
      </c>
      <c r="I146" s="2" t="s">
        <v>27</v>
      </c>
    </row>
    <row r="147" spans="1:9">
      <c r="A147" s="12" t="s">
        <v>225</v>
      </c>
      <c r="B147" s="12"/>
      <c r="C147" s="2" t="s">
        <v>129</v>
      </c>
      <c r="D147" s="2" t="s">
        <v>19</v>
      </c>
      <c r="E147" s="2" t="s">
        <v>20</v>
      </c>
      <c r="F147" s="2">
        <v>3</v>
      </c>
      <c r="G147" s="5">
        <v>74388.37</v>
      </c>
      <c r="H147" s="5">
        <f t="shared" si="2"/>
        <v>223165.11</v>
      </c>
      <c r="I147" s="2" t="s">
        <v>23</v>
      </c>
    </row>
    <row r="148" spans="1:9">
      <c r="A148" s="12" t="s">
        <v>225</v>
      </c>
      <c r="B148" s="12"/>
      <c r="C148" s="2" t="s">
        <v>127</v>
      </c>
      <c r="D148" s="2" t="s">
        <v>9</v>
      </c>
      <c r="E148" s="2" t="s">
        <v>10</v>
      </c>
      <c r="F148" s="2">
        <v>3</v>
      </c>
      <c r="G148" s="5">
        <v>8730.06</v>
      </c>
      <c r="H148" s="5">
        <f t="shared" si="2"/>
        <v>26190.18</v>
      </c>
      <c r="I148" s="2" t="s">
        <v>43</v>
      </c>
    </row>
    <row r="149" spans="1:9">
      <c r="A149" s="12" t="s">
        <v>226</v>
      </c>
      <c r="B149" s="12"/>
      <c r="C149" s="2" t="s">
        <v>129</v>
      </c>
      <c r="D149" s="2" t="s">
        <v>34</v>
      </c>
      <c r="E149" s="2" t="s">
        <v>14</v>
      </c>
      <c r="F149" s="2">
        <v>7</v>
      </c>
      <c r="G149" s="5">
        <v>160385.10999999999</v>
      </c>
      <c r="H149" s="5">
        <f t="shared" si="2"/>
        <v>1122695.77</v>
      </c>
      <c r="I149" s="2" t="s">
        <v>23</v>
      </c>
    </row>
    <row r="150" spans="1:9">
      <c r="A150" s="12" t="s">
        <v>227</v>
      </c>
      <c r="B150" s="12"/>
      <c r="C150" s="2" t="s">
        <v>127</v>
      </c>
      <c r="D150" s="2" t="s">
        <v>16</v>
      </c>
      <c r="E150" s="2" t="s">
        <v>10</v>
      </c>
      <c r="F150" s="2">
        <v>4</v>
      </c>
      <c r="G150" s="5">
        <v>13391.8</v>
      </c>
      <c r="H150" s="5">
        <f t="shared" si="2"/>
        <v>53567.199999999997</v>
      </c>
      <c r="I150" s="2" t="s">
        <v>27</v>
      </c>
    </row>
    <row r="151" spans="1:9">
      <c r="A151" s="12" t="s">
        <v>227</v>
      </c>
      <c r="B151" s="12"/>
      <c r="C151" s="2" t="s">
        <v>127</v>
      </c>
      <c r="D151" s="2" t="s">
        <v>16</v>
      </c>
      <c r="E151" s="2" t="s">
        <v>10</v>
      </c>
      <c r="F151" s="2">
        <v>4</v>
      </c>
      <c r="G151" s="5">
        <v>11515.53</v>
      </c>
      <c r="H151" s="5">
        <f t="shared" si="2"/>
        <v>46062.12</v>
      </c>
      <c r="I151" s="2" t="s">
        <v>23</v>
      </c>
    </row>
    <row r="152" spans="1:9">
      <c r="A152" s="12" t="s">
        <v>228</v>
      </c>
      <c r="B152" s="12"/>
      <c r="C152" s="2" t="s">
        <v>8</v>
      </c>
      <c r="D152" s="2" t="s">
        <v>26</v>
      </c>
      <c r="E152" s="2" t="s">
        <v>10</v>
      </c>
      <c r="F152" s="2">
        <v>8</v>
      </c>
      <c r="G152" s="5">
        <v>15570.79</v>
      </c>
      <c r="H152" s="5">
        <f t="shared" si="2"/>
        <v>124566.32</v>
      </c>
      <c r="I152" s="2" t="s">
        <v>23</v>
      </c>
    </row>
    <row r="153" spans="1:9">
      <c r="A153" s="12" t="s">
        <v>228</v>
      </c>
      <c r="B153" s="12"/>
      <c r="C153" s="2" t="s">
        <v>127</v>
      </c>
      <c r="D153" s="2" t="s">
        <v>34</v>
      </c>
      <c r="E153" s="2" t="s">
        <v>14</v>
      </c>
      <c r="F153" s="2">
        <v>7</v>
      </c>
      <c r="G153" s="5">
        <v>157056.35</v>
      </c>
      <c r="H153" s="5">
        <f t="shared" si="2"/>
        <v>1099394.45</v>
      </c>
      <c r="I153" s="2" t="s">
        <v>43</v>
      </c>
    </row>
    <row r="154" spans="1:9">
      <c r="A154" s="12" t="s">
        <v>229</v>
      </c>
      <c r="B154" s="12"/>
      <c r="C154" s="2" t="s">
        <v>8</v>
      </c>
      <c r="D154" s="2" t="s">
        <v>13</v>
      </c>
      <c r="E154" s="2" t="s">
        <v>14</v>
      </c>
      <c r="F154" s="2">
        <v>2</v>
      </c>
      <c r="G154" s="5">
        <v>0</v>
      </c>
      <c r="H154" s="5">
        <f t="shared" si="2"/>
        <v>0</v>
      </c>
      <c r="I154" s="2" t="s">
        <v>17</v>
      </c>
    </row>
    <row r="155" spans="1:9">
      <c r="A155" s="12" t="s">
        <v>230</v>
      </c>
      <c r="B155" s="12"/>
      <c r="C155" s="2" t="s">
        <v>128</v>
      </c>
      <c r="D155" s="2" t="s">
        <v>16</v>
      </c>
      <c r="E155" s="2" t="s">
        <v>10</v>
      </c>
      <c r="F155" s="2">
        <v>10</v>
      </c>
      <c r="G155" s="5">
        <v>10339.57</v>
      </c>
      <c r="H155" s="5">
        <f t="shared" si="2"/>
        <v>103395.7</v>
      </c>
      <c r="I155" s="2" t="s">
        <v>27</v>
      </c>
    </row>
    <row r="156" spans="1:9">
      <c r="A156" s="12" t="s">
        <v>230</v>
      </c>
      <c r="B156" s="12"/>
      <c r="C156" s="2" t="s">
        <v>130</v>
      </c>
      <c r="D156" s="2" t="s">
        <v>9</v>
      </c>
      <c r="E156" s="2" t="s">
        <v>10</v>
      </c>
      <c r="F156" s="2">
        <v>3</v>
      </c>
      <c r="G156" s="5">
        <v>8277.18</v>
      </c>
      <c r="H156" s="5">
        <f t="shared" si="2"/>
        <v>24831.54</v>
      </c>
      <c r="I156" s="2" t="s">
        <v>23</v>
      </c>
    </row>
    <row r="157" spans="1:9">
      <c r="A157" s="12" t="s">
        <v>231</v>
      </c>
      <c r="B157" s="12"/>
      <c r="C157" s="2" t="s">
        <v>8</v>
      </c>
      <c r="D157" s="2" t="s">
        <v>36</v>
      </c>
      <c r="E157" s="2" t="s">
        <v>14</v>
      </c>
      <c r="F157" s="2">
        <v>9</v>
      </c>
      <c r="G157" s="5">
        <v>389512.03</v>
      </c>
      <c r="H157" s="5">
        <f t="shared" si="2"/>
        <v>3505608.2700000005</v>
      </c>
      <c r="I157" s="2" t="s">
        <v>17</v>
      </c>
    </row>
    <row r="158" spans="1:9">
      <c r="A158" s="12" t="s">
        <v>231</v>
      </c>
      <c r="B158" s="12"/>
      <c r="C158" s="2" t="s">
        <v>129</v>
      </c>
      <c r="D158" s="2" t="s">
        <v>36</v>
      </c>
      <c r="E158" s="2" t="s">
        <v>14</v>
      </c>
      <c r="F158" s="2">
        <v>4</v>
      </c>
      <c r="G158" s="5">
        <v>400060.02</v>
      </c>
      <c r="H158" s="5">
        <f t="shared" si="2"/>
        <v>1600240.08</v>
      </c>
      <c r="I158" s="2" t="s">
        <v>27</v>
      </c>
    </row>
    <row r="159" spans="1:9">
      <c r="A159" s="12" t="s">
        <v>232</v>
      </c>
      <c r="B159" s="12"/>
      <c r="C159" s="2" t="s">
        <v>130</v>
      </c>
      <c r="D159" s="2" t="s">
        <v>31</v>
      </c>
      <c r="E159" s="2" t="s">
        <v>20</v>
      </c>
      <c r="F159" s="2">
        <v>5</v>
      </c>
      <c r="G159" s="5">
        <v>50555.8</v>
      </c>
      <c r="H159" s="5">
        <f t="shared" si="2"/>
        <v>252779</v>
      </c>
      <c r="I159" s="2" t="s">
        <v>27</v>
      </c>
    </row>
    <row r="160" spans="1:9">
      <c r="A160" s="12" t="s">
        <v>232</v>
      </c>
      <c r="B160" s="12"/>
      <c r="C160" s="2" t="s">
        <v>131</v>
      </c>
      <c r="D160" s="2" t="s">
        <v>26</v>
      </c>
      <c r="E160" s="2" t="s">
        <v>10</v>
      </c>
      <c r="F160" s="2">
        <v>1</v>
      </c>
      <c r="G160" s="5">
        <v>0</v>
      </c>
      <c r="H160" s="5">
        <f t="shared" si="2"/>
        <v>0</v>
      </c>
      <c r="I160" s="2" t="s">
        <v>23</v>
      </c>
    </row>
    <row r="161" spans="1:9">
      <c r="A161" s="12" t="s">
        <v>233</v>
      </c>
      <c r="B161" s="12"/>
      <c r="C161" s="2" t="s">
        <v>131</v>
      </c>
      <c r="D161" s="2" t="s">
        <v>26</v>
      </c>
      <c r="E161" s="2" t="s">
        <v>10</v>
      </c>
      <c r="F161" s="2">
        <v>8</v>
      </c>
      <c r="G161" s="5">
        <v>16457.84</v>
      </c>
      <c r="H161" s="5">
        <f t="shared" si="2"/>
        <v>131662.72</v>
      </c>
      <c r="I161" s="2" t="s">
        <v>27</v>
      </c>
    </row>
    <row r="162" spans="1:9">
      <c r="A162" s="12" t="s">
        <v>234</v>
      </c>
      <c r="B162" s="12"/>
      <c r="C162" s="2" t="s">
        <v>129</v>
      </c>
      <c r="D162" s="2" t="s">
        <v>34</v>
      </c>
      <c r="E162" s="2" t="s">
        <v>14</v>
      </c>
      <c r="F162" s="2">
        <v>7</v>
      </c>
      <c r="G162" s="5">
        <v>191512.58</v>
      </c>
      <c r="H162" s="5">
        <f t="shared" si="2"/>
        <v>1340588.0599999998</v>
      </c>
      <c r="I162" s="2" t="s">
        <v>23</v>
      </c>
    </row>
    <row r="163" spans="1:9">
      <c r="A163" s="12" t="s">
        <v>235</v>
      </c>
      <c r="B163" s="12"/>
      <c r="C163" s="2" t="s">
        <v>130</v>
      </c>
      <c r="D163" s="2" t="s">
        <v>27</v>
      </c>
      <c r="E163" s="2" t="s">
        <v>10</v>
      </c>
      <c r="F163" s="2">
        <v>8</v>
      </c>
      <c r="G163" s="5">
        <v>11122.12</v>
      </c>
      <c r="H163" s="5">
        <f t="shared" si="2"/>
        <v>88976.960000000006</v>
      </c>
      <c r="I163" s="2" t="s">
        <v>21</v>
      </c>
    </row>
    <row r="164" spans="1:9">
      <c r="A164" s="12" t="s">
        <v>27</v>
      </c>
      <c r="B164" s="12"/>
      <c r="C164" s="2" t="s">
        <v>28</v>
      </c>
      <c r="D164" s="2" t="s">
        <v>16</v>
      </c>
      <c r="E164" s="2" t="s">
        <v>10</v>
      </c>
      <c r="F164" s="2">
        <v>1</v>
      </c>
      <c r="G164" s="5">
        <v>11947.97</v>
      </c>
      <c r="H164" s="5">
        <f t="shared" si="2"/>
        <v>11947.97</v>
      </c>
      <c r="I164" s="2" t="s">
        <v>29</v>
      </c>
    </row>
    <row r="165" spans="1:9">
      <c r="A165" s="12" t="s">
        <v>27</v>
      </c>
      <c r="B165" s="12"/>
      <c r="C165" s="2" t="s">
        <v>8</v>
      </c>
      <c r="D165" s="2" t="s">
        <v>31</v>
      </c>
      <c r="E165" s="2" t="s">
        <v>20</v>
      </c>
      <c r="F165" s="2">
        <v>2</v>
      </c>
      <c r="G165" s="5">
        <v>39039.25</v>
      </c>
      <c r="H165" s="5">
        <f t="shared" si="2"/>
        <v>78078.5</v>
      </c>
      <c r="I165" s="2" t="s">
        <v>27</v>
      </c>
    </row>
    <row r="166" spans="1:9">
      <c r="A166" s="12" t="s">
        <v>27</v>
      </c>
      <c r="B166" s="12"/>
      <c r="C166" s="2" t="s">
        <v>129</v>
      </c>
      <c r="D166" s="2" t="s">
        <v>26</v>
      </c>
      <c r="E166" s="2" t="s">
        <v>10</v>
      </c>
      <c r="F166" s="2">
        <v>2</v>
      </c>
      <c r="G166" s="5">
        <v>15076.76</v>
      </c>
      <c r="H166" s="5">
        <f t="shared" si="2"/>
        <v>30153.52</v>
      </c>
      <c r="I166" s="2" t="s">
        <v>17</v>
      </c>
    </row>
    <row r="167" spans="1:9">
      <c r="A167" s="12" t="s">
        <v>27</v>
      </c>
      <c r="B167" s="12"/>
      <c r="C167" s="2" t="s">
        <v>128</v>
      </c>
      <c r="D167" s="2" t="s">
        <v>16</v>
      </c>
      <c r="E167" s="2" t="s">
        <v>10</v>
      </c>
      <c r="F167" s="2">
        <v>8</v>
      </c>
      <c r="G167" s="5">
        <v>10406.06</v>
      </c>
      <c r="H167" s="5">
        <f t="shared" si="2"/>
        <v>83248.479999999996</v>
      </c>
      <c r="I167" s="2" t="s">
        <v>17</v>
      </c>
    </row>
    <row r="168" spans="1:9">
      <c r="A168" s="12" t="s">
        <v>27</v>
      </c>
      <c r="B168" s="12"/>
      <c r="C168" s="2" t="s">
        <v>40</v>
      </c>
      <c r="D168" s="2" t="s">
        <v>26</v>
      </c>
      <c r="E168" s="2" t="s">
        <v>10</v>
      </c>
      <c r="F168" s="2">
        <v>9</v>
      </c>
      <c r="G168" s="5">
        <v>14251.31</v>
      </c>
      <c r="H168" s="5">
        <f t="shared" si="2"/>
        <v>128261.79</v>
      </c>
      <c r="I168" s="2" t="s">
        <v>29</v>
      </c>
    </row>
    <row r="169" spans="1:9">
      <c r="A169" s="12" t="s">
        <v>27</v>
      </c>
      <c r="B169" s="12"/>
      <c r="C169" s="2" t="s">
        <v>127</v>
      </c>
      <c r="D169" s="2" t="s">
        <v>9</v>
      </c>
      <c r="E169" s="2" t="s">
        <v>10</v>
      </c>
      <c r="F169" s="2">
        <v>5</v>
      </c>
      <c r="G169" s="5">
        <v>7279.27</v>
      </c>
      <c r="H169" s="5">
        <f t="shared" si="2"/>
        <v>36396.350000000006</v>
      </c>
      <c r="I169" s="2" t="s">
        <v>43</v>
      </c>
    </row>
    <row r="170" spans="1:9">
      <c r="A170" s="12" t="s">
        <v>27</v>
      </c>
      <c r="B170" s="12"/>
      <c r="C170" s="2" t="s">
        <v>127</v>
      </c>
      <c r="D170" s="2" t="s">
        <v>36</v>
      </c>
      <c r="E170" s="2" t="s">
        <v>14</v>
      </c>
      <c r="F170" s="2">
        <v>1</v>
      </c>
      <c r="G170" s="5">
        <v>357955</v>
      </c>
      <c r="H170" s="5">
        <f t="shared" si="2"/>
        <v>357955</v>
      </c>
      <c r="I170" s="2" t="s">
        <v>23</v>
      </c>
    </row>
    <row r="171" spans="1:9">
      <c r="A171" s="12" t="s">
        <v>27</v>
      </c>
      <c r="B171" s="12"/>
      <c r="C171" s="2" t="s">
        <v>131</v>
      </c>
      <c r="D171" s="2" t="s">
        <v>26</v>
      </c>
      <c r="E171" s="2" t="s">
        <v>10</v>
      </c>
      <c r="F171" s="2">
        <v>8</v>
      </c>
      <c r="G171" s="5">
        <v>14002.03</v>
      </c>
      <c r="H171" s="5">
        <f t="shared" si="2"/>
        <v>112016.24</v>
      </c>
      <c r="I171" s="2" t="s">
        <v>23</v>
      </c>
    </row>
    <row r="172" spans="1:9">
      <c r="A172" s="12" t="s">
        <v>27</v>
      </c>
      <c r="B172" s="12"/>
      <c r="C172" s="2" t="s">
        <v>8</v>
      </c>
      <c r="D172" s="2" t="s">
        <v>27</v>
      </c>
      <c r="E172" s="2" t="s">
        <v>10</v>
      </c>
      <c r="F172" s="2">
        <v>10</v>
      </c>
      <c r="G172" s="5">
        <v>7374.96</v>
      </c>
      <c r="H172" s="5">
        <f t="shared" si="2"/>
        <v>73749.600000000006</v>
      </c>
      <c r="I172" s="2" t="s">
        <v>29</v>
      </c>
    </row>
    <row r="173" spans="1:9">
      <c r="A173" s="12" t="s">
        <v>27</v>
      </c>
      <c r="B173" s="12"/>
      <c r="C173" s="2" t="s">
        <v>129</v>
      </c>
      <c r="D173" s="2" t="s">
        <v>13</v>
      </c>
      <c r="E173" s="2" t="s">
        <v>14</v>
      </c>
      <c r="F173" s="2">
        <v>5</v>
      </c>
      <c r="G173" s="5">
        <v>93671.11</v>
      </c>
      <c r="H173" s="5">
        <f t="shared" si="2"/>
        <v>468355.55</v>
      </c>
      <c r="I173" s="2" t="s">
        <v>27</v>
      </c>
    </row>
    <row r="174" spans="1:9">
      <c r="A174" s="12" t="s">
        <v>27</v>
      </c>
      <c r="B174" s="12"/>
      <c r="C174" s="2" t="s">
        <v>129</v>
      </c>
      <c r="D174" s="2" t="s">
        <v>36</v>
      </c>
      <c r="E174" s="2" t="s">
        <v>14</v>
      </c>
      <c r="F174" s="2">
        <v>0</v>
      </c>
      <c r="G174" s="5">
        <v>308409.15000000002</v>
      </c>
      <c r="H174" s="5">
        <f t="shared" si="2"/>
        <v>0</v>
      </c>
      <c r="I174" s="2" t="s">
        <v>43</v>
      </c>
    </row>
    <row r="175" spans="1:9">
      <c r="A175" s="12" t="s">
        <v>27</v>
      </c>
      <c r="B175" s="12"/>
      <c r="C175" s="2" t="s">
        <v>28</v>
      </c>
      <c r="D175" s="2" t="s">
        <v>27</v>
      </c>
      <c r="E175" s="2" t="s">
        <v>14</v>
      </c>
      <c r="F175" s="2">
        <v>4</v>
      </c>
      <c r="G175" s="5">
        <v>0</v>
      </c>
      <c r="H175" s="5">
        <f t="shared" si="2"/>
        <v>0</v>
      </c>
      <c r="I175" s="2" t="s">
        <v>43</v>
      </c>
    </row>
    <row r="176" spans="1:9">
      <c r="A176" s="12" t="s">
        <v>27</v>
      </c>
      <c r="B176" s="12"/>
      <c r="C176" s="2" t="s">
        <v>128</v>
      </c>
      <c r="D176" s="2" t="s">
        <v>9</v>
      </c>
      <c r="E176" s="2" t="s">
        <v>10</v>
      </c>
      <c r="F176" s="2">
        <v>4</v>
      </c>
      <c r="G176" s="5">
        <v>0</v>
      </c>
      <c r="H176" s="5">
        <f t="shared" si="2"/>
        <v>0</v>
      </c>
      <c r="I176" s="2" t="s">
        <v>23</v>
      </c>
    </row>
    <row r="177" spans="1:9">
      <c r="A177" s="12" t="s">
        <v>27</v>
      </c>
      <c r="B177" s="12"/>
      <c r="C177" s="2" t="s">
        <v>129</v>
      </c>
      <c r="D177" s="2" t="s">
        <v>26</v>
      </c>
      <c r="E177" s="2" t="s">
        <v>10</v>
      </c>
      <c r="F177" s="2">
        <v>5</v>
      </c>
      <c r="G177" s="5">
        <v>14746.09</v>
      </c>
      <c r="H177" s="5">
        <f t="shared" si="2"/>
        <v>73730.45</v>
      </c>
      <c r="I177" s="2" t="s">
        <v>29</v>
      </c>
    </row>
    <row r="178" spans="1:9">
      <c r="A178" s="12" t="s">
        <v>27</v>
      </c>
      <c r="B178" s="12"/>
      <c r="C178" s="2" t="s">
        <v>40</v>
      </c>
      <c r="D178" s="2" t="s">
        <v>36</v>
      </c>
      <c r="E178" s="2" t="s">
        <v>14</v>
      </c>
      <c r="F178" s="2">
        <v>2</v>
      </c>
      <c r="G178" s="5">
        <v>0</v>
      </c>
      <c r="H178" s="5">
        <f t="shared" si="2"/>
        <v>0</v>
      </c>
      <c r="I178" s="2" t="s">
        <v>29</v>
      </c>
    </row>
    <row r="179" spans="1:9">
      <c r="A179" s="12" t="s">
        <v>27</v>
      </c>
      <c r="B179" s="12"/>
      <c r="C179" s="2" t="s">
        <v>130</v>
      </c>
      <c r="D179" s="2" t="s">
        <v>19</v>
      </c>
      <c r="E179" s="2" t="s">
        <v>20</v>
      </c>
      <c r="F179" s="2">
        <v>1</v>
      </c>
      <c r="G179" s="5">
        <v>68379.14</v>
      </c>
      <c r="H179" s="5">
        <f t="shared" si="2"/>
        <v>68379.14</v>
      </c>
      <c r="I179" s="2" t="s">
        <v>43</v>
      </c>
    </row>
    <row r="180" spans="1:9">
      <c r="A180" s="12" t="s">
        <v>27</v>
      </c>
      <c r="B180" s="12"/>
      <c r="C180" s="2" t="s">
        <v>8</v>
      </c>
      <c r="D180" s="2" t="s">
        <v>31</v>
      </c>
      <c r="E180" s="2" t="s">
        <v>20</v>
      </c>
      <c r="F180" s="2">
        <v>9</v>
      </c>
      <c r="G180" s="5">
        <v>48615.06</v>
      </c>
      <c r="H180" s="5">
        <f t="shared" si="2"/>
        <v>437535.54</v>
      </c>
      <c r="I180" s="2" t="s">
        <v>29</v>
      </c>
    </row>
    <row r="181" spans="1:9">
      <c r="A181" s="12" t="s">
        <v>27</v>
      </c>
      <c r="B181" s="12"/>
      <c r="C181" s="2" t="s">
        <v>127</v>
      </c>
      <c r="D181" s="2" t="s">
        <v>9</v>
      </c>
      <c r="E181" s="2" t="s">
        <v>10</v>
      </c>
      <c r="F181" s="2">
        <v>1</v>
      </c>
      <c r="G181" s="5">
        <v>8182.45</v>
      </c>
      <c r="H181" s="5">
        <f t="shared" si="2"/>
        <v>8182.45</v>
      </c>
      <c r="I181" s="2" t="s">
        <v>23</v>
      </c>
    </row>
    <row r="182" spans="1:9">
      <c r="A182" s="12" t="s">
        <v>27</v>
      </c>
      <c r="B182" s="12"/>
      <c r="C182" s="2" t="s">
        <v>129</v>
      </c>
      <c r="D182" s="2" t="s">
        <v>16</v>
      </c>
      <c r="E182" s="2" t="s">
        <v>10</v>
      </c>
      <c r="F182" s="2">
        <v>9</v>
      </c>
      <c r="G182" s="5">
        <v>0</v>
      </c>
      <c r="H182" s="5">
        <f t="shared" si="2"/>
        <v>0</v>
      </c>
      <c r="I182" s="2" t="s">
        <v>23</v>
      </c>
    </row>
    <row r="183" spans="1:9">
      <c r="A183" s="12" t="s">
        <v>27</v>
      </c>
      <c r="B183" s="12"/>
      <c r="C183" s="2" t="s">
        <v>130</v>
      </c>
      <c r="D183" s="2" t="s">
        <v>27</v>
      </c>
      <c r="E183" s="2" t="s">
        <v>14</v>
      </c>
      <c r="F183" s="2">
        <v>10</v>
      </c>
      <c r="G183" s="5">
        <v>174464.25</v>
      </c>
      <c r="H183" s="5">
        <f t="shared" si="2"/>
        <v>1744642.5</v>
      </c>
      <c r="I183" s="2" t="s">
        <v>23</v>
      </c>
    </row>
    <row r="184" spans="1:9">
      <c r="A184" s="12" t="s">
        <v>27</v>
      </c>
      <c r="B184" s="12"/>
      <c r="C184" s="2" t="s">
        <v>40</v>
      </c>
      <c r="D184" s="2" t="s">
        <v>36</v>
      </c>
      <c r="E184" s="2" t="s">
        <v>14</v>
      </c>
      <c r="F184" s="2">
        <v>7</v>
      </c>
      <c r="G184" s="5">
        <v>368064.54</v>
      </c>
      <c r="H184" s="5">
        <f t="shared" si="2"/>
        <v>2576451.7799999998</v>
      </c>
      <c r="I184" s="2" t="s">
        <v>23</v>
      </c>
    </row>
    <row r="185" spans="1:9">
      <c r="A185" s="12" t="s">
        <v>27</v>
      </c>
      <c r="B185" s="12"/>
      <c r="C185" s="2" t="s">
        <v>28</v>
      </c>
      <c r="D185" s="2" t="s">
        <v>31</v>
      </c>
      <c r="E185" s="2" t="s">
        <v>20</v>
      </c>
      <c r="F185" s="2">
        <v>4</v>
      </c>
      <c r="G185" s="5">
        <v>42276.15</v>
      </c>
      <c r="H185" s="5">
        <f t="shared" si="2"/>
        <v>169104.6</v>
      </c>
      <c r="I185" s="2" t="s">
        <v>17</v>
      </c>
    </row>
    <row r="186" spans="1:9">
      <c r="A186" s="12" t="s">
        <v>27</v>
      </c>
      <c r="B186" s="12"/>
      <c r="C186" s="2" t="s">
        <v>28</v>
      </c>
      <c r="D186" s="2" t="s">
        <v>36</v>
      </c>
      <c r="E186" s="2" t="s">
        <v>14</v>
      </c>
      <c r="F186" s="2">
        <v>5</v>
      </c>
      <c r="G186" s="5">
        <v>313046.23</v>
      </c>
      <c r="H186" s="5">
        <f t="shared" si="2"/>
        <v>1565231.15</v>
      </c>
      <c r="I186" s="2" t="s">
        <v>29</v>
      </c>
    </row>
    <row r="187" spans="1:9">
      <c r="A187" s="12" t="s">
        <v>27</v>
      </c>
      <c r="B187" s="12"/>
      <c r="C187" s="2" t="s">
        <v>40</v>
      </c>
      <c r="D187" s="2" t="s">
        <v>26</v>
      </c>
      <c r="E187" s="2" t="s">
        <v>10</v>
      </c>
      <c r="F187" s="2">
        <v>10</v>
      </c>
      <c r="G187" s="5">
        <v>15333.05</v>
      </c>
      <c r="H187" s="5">
        <f t="shared" si="2"/>
        <v>153330.5</v>
      </c>
      <c r="I187" s="2" t="s">
        <v>29</v>
      </c>
    </row>
    <row r="188" spans="1:9">
      <c r="A188" s="12" t="s">
        <v>27</v>
      </c>
      <c r="B188" s="12"/>
      <c r="C188" s="2" t="s">
        <v>129</v>
      </c>
      <c r="D188" s="2" t="s">
        <v>31</v>
      </c>
      <c r="E188" s="2" t="s">
        <v>20</v>
      </c>
      <c r="F188" s="2">
        <v>5</v>
      </c>
      <c r="G188" s="5">
        <v>45084.14</v>
      </c>
      <c r="H188" s="5">
        <f t="shared" si="2"/>
        <v>225420.7</v>
      </c>
      <c r="I188" s="2" t="s">
        <v>29</v>
      </c>
    </row>
    <row r="189" spans="1:9">
      <c r="A189" s="12" t="s">
        <v>27</v>
      </c>
      <c r="B189" s="12"/>
      <c r="C189" s="2" t="s">
        <v>131</v>
      </c>
      <c r="D189" s="2" t="s">
        <v>26</v>
      </c>
      <c r="E189" s="2" t="s">
        <v>10</v>
      </c>
      <c r="F189" s="2">
        <v>10</v>
      </c>
      <c r="G189" s="5">
        <v>16675.310000000001</v>
      </c>
      <c r="H189" s="5">
        <f t="shared" si="2"/>
        <v>166753.1</v>
      </c>
      <c r="I189" s="2" t="s">
        <v>29</v>
      </c>
    </row>
    <row r="190" spans="1:9">
      <c r="A190" s="12" t="s">
        <v>27</v>
      </c>
      <c r="B190" s="12"/>
      <c r="C190" s="2" t="s">
        <v>8</v>
      </c>
      <c r="D190" s="2" t="s">
        <v>9</v>
      </c>
      <c r="E190" s="2" t="s">
        <v>10</v>
      </c>
      <c r="F190" s="2">
        <v>3</v>
      </c>
      <c r="G190" s="5">
        <v>0</v>
      </c>
      <c r="H190" s="5">
        <f t="shared" si="2"/>
        <v>0</v>
      </c>
      <c r="I190" s="2" t="s">
        <v>23</v>
      </c>
    </row>
    <row r="191" spans="1:9">
      <c r="A191" s="12" t="s">
        <v>27</v>
      </c>
      <c r="B191" s="12"/>
      <c r="C191" s="2" t="s">
        <v>127</v>
      </c>
      <c r="D191" s="2" t="s">
        <v>16</v>
      </c>
      <c r="E191" s="2" t="s">
        <v>10</v>
      </c>
      <c r="F191" s="2">
        <v>10</v>
      </c>
      <c r="G191" s="5">
        <v>12990.1</v>
      </c>
      <c r="H191" s="5">
        <f t="shared" si="2"/>
        <v>129901</v>
      </c>
      <c r="I191" s="2" t="s">
        <v>29</v>
      </c>
    </row>
    <row r="192" spans="1:9">
      <c r="A192" s="12" t="s">
        <v>27</v>
      </c>
      <c r="B192" s="12"/>
      <c r="C192" s="2" t="s">
        <v>129</v>
      </c>
      <c r="D192" s="2" t="s">
        <v>31</v>
      </c>
      <c r="E192" s="2" t="s">
        <v>20</v>
      </c>
      <c r="F192" s="2">
        <v>4</v>
      </c>
      <c r="G192" s="5">
        <v>38345.57</v>
      </c>
      <c r="H192" s="5">
        <f t="shared" si="2"/>
        <v>153382.28</v>
      </c>
      <c r="I192" s="2" t="s">
        <v>29</v>
      </c>
    </row>
    <row r="193" spans="1:9">
      <c r="A193" s="12" t="s">
        <v>27</v>
      </c>
      <c r="B193" s="12"/>
      <c r="C193" s="2" t="s">
        <v>128</v>
      </c>
      <c r="D193" s="2" t="s">
        <v>34</v>
      </c>
      <c r="E193" s="2" t="s">
        <v>14</v>
      </c>
      <c r="F193" s="2">
        <v>5</v>
      </c>
      <c r="G193" s="5">
        <v>162828.26999999999</v>
      </c>
      <c r="H193" s="5">
        <f t="shared" si="2"/>
        <v>814141.35</v>
      </c>
      <c r="I193" s="2" t="s">
        <v>29</v>
      </c>
    </row>
    <row r="194" spans="1:9">
      <c r="A194" s="12" t="s">
        <v>27</v>
      </c>
      <c r="B194" s="12"/>
      <c r="C194" s="2" t="s">
        <v>131</v>
      </c>
      <c r="D194" s="2" t="s">
        <v>19</v>
      </c>
      <c r="E194" s="2" t="s">
        <v>20</v>
      </c>
      <c r="F194" s="2">
        <v>2</v>
      </c>
      <c r="G194" s="5">
        <v>73330.59</v>
      </c>
      <c r="H194" s="5">
        <f t="shared" si="2"/>
        <v>146661.18</v>
      </c>
      <c r="I194" s="2" t="s">
        <v>23</v>
      </c>
    </row>
    <row r="195" spans="1:9">
      <c r="A195" s="12" t="s">
        <v>27</v>
      </c>
      <c r="B195" s="12"/>
      <c r="C195" s="2" t="s">
        <v>40</v>
      </c>
      <c r="D195" s="2" t="s">
        <v>19</v>
      </c>
      <c r="E195" s="2" t="s">
        <v>20</v>
      </c>
      <c r="F195" s="2">
        <v>4</v>
      </c>
      <c r="G195" s="5">
        <v>72885.58</v>
      </c>
      <c r="H195" s="5">
        <f t="shared" ref="H195:H201" si="3">F195*G195</f>
        <v>291542.32</v>
      </c>
      <c r="I195" s="2" t="s">
        <v>21</v>
      </c>
    </row>
    <row r="196" spans="1:9">
      <c r="A196" s="12" t="s">
        <v>27</v>
      </c>
      <c r="B196" s="12"/>
      <c r="C196" s="2" t="s">
        <v>129</v>
      </c>
      <c r="D196" s="2" t="s">
        <v>31</v>
      </c>
      <c r="E196" s="2" t="s">
        <v>20</v>
      </c>
      <c r="F196" s="2">
        <v>10</v>
      </c>
      <c r="G196" s="5">
        <v>41015.83</v>
      </c>
      <c r="H196" s="5">
        <f t="shared" si="3"/>
        <v>410158.30000000005</v>
      </c>
      <c r="I196" s="2" t="s">
        <v>43</v>
      </c>
    </row>
    <row r="197" spans="1:9">
      <c r="A197" s="12" t="s">
        <v>27</v>
      </c>
      <c r="B197" s="12"/>
      <c r="C197" s="2" t="s">
        <v>40</v>
      </c>
      <c r="D197" s="2" t="s">
        <v>13</v>
      </c>
      <c r="E197" s="2" t="s">
        <v>14</v>
      </c>
      <c r="F197" s="2">
        <v>3</v>
      </c>
      <c r="G197" s="5">
        <v>89674.6</v>
      </c>
      <c r="H197" s="5">
        <f t="shared" si="3"/>
        <v>269023.80000000005</v>
      </c>
      <c r="I197" s="2" t="s">
        <v>27</v>
      </c>
    </row>
    <row r="198" spans="1:9">
      <c r="A198" s="12" t="s">
        <v>27</v>
      </c>
      <c r="B198" s="12"/>
      <c r="C198" s="2" t="s">
        <v>28</v>
      </c>
      <c r="D198" s="2" t="s">
        <v>9</v>
      </c>
      <c r="E198" s="2" t="s">
        <v>10</v>
      </c>
      <c r="F198" s="2">
        <v>3</v>
      </c>
      <c r="G198" s="5">
        <v>7618.03</v>
      </c>
      <c r="H198" s="5">
        <f t="shared" si="3"/>
        <v>22854.09</v>
      </c>
      <c r="I198" s="2" t="s">
        <v>27</v>
      </c>
    </row>
    <row r="199" spans="1:9">
      <c r="A199" s="12" t="s">
        <v>27</v>
      </c>
      <c r="B199" s="12"/>
      <c r="C199" s="2" t="s">
        <v>40</v>
      </c>
      <c r="D199" s="2" t="s">
        <v>13</v>
      </c>
      <c r="E199" s="2" t="s">
        <v>14</v>
      </c>
      <c r="F199" s="2">
        <v>2</v>
      </c>
      <c r="G199" s="5">
        <v>0</v>
      </c>
      <c r="H199" s="5">
        <f t="shared" si="3"/>
        <v>0</v>
      </c>
      <c r="I199" s="2" t="s">
        <v>21</v>
      </c>
    </row>
    <row r="200" spans="1:9">
      <c r="A200" s="12" t="s">
        <v>27</v>
      </c>
      <c r="B200" s="12"/>
      <c r="C200" s="2" t="s">
        <v>8</v>
      </c>
      <c r="D200" s="2" t="s">
        <v>26</v>
      </c>
      <c r="E200" s="2" t="s">
        <v>10</v>
      </c>
      <c r="F200" s="2">
        <v>10</v>
      </c>
      <c r="G200" s="5">
        <v>0</v>
      </c>
      <c r="H200" s="5">
        <f t="shared" si="3"/>
        <v>0</v>
      </c>
      <c r="I200" s="2" t="s">
        <v>23</v>
      </c>
    </row>
    <row r="201" spans="1:9">
      <c r="A201" s="12" t="s">
        <v>27</v>
      </c>
      <c r="B201" s="12"/>
      <c r="C201" s="2" t="s">
        <v>128</v>
      </c>
      <c r="D201" s="2" t="s">
        <v>16</v>
      </c>
      <c r="E201" s="2" t="s">
        <v>10</v>
      </c>
      <c r="F201" s="2">
        <v>-2</v>
      </c>
      <c r="G201" s="5">
        <v>13164.24</v>
      </c>
      <c r="H201" s="5">
        <f t="shared" si="3"/>
        <v>-26328.48</v>
      </c>
      <c r="I201" s="2" t="s">
        <v>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abSelected="1" workbookViewId="0">
      <selection activeCell="J11" sqref="J11"/>
    </sheetView>
  </sheetViews>
  <sheetFormatPr defaultRowHeight="14.5"/>
  <cols>
    <col min="1" max="1" width="10.81640625" bestFit="1" customWidth="1"/>
    <col min="2" max="2" width="15.90625" customWidth="1"/>
    <col min="3" max="3" width="11.90625" bestFit="1" customWidth="1"/>
    <col min="4" max="4" width="11.6328125" bestFit="1" customWidth="1"/>
    <col min="6" max="6" width="10.6328125" bestFit="1" customWidth="1"/>
    <col min="7" max="7" width="12.6328125" bestFit="1" customWidth="1"/>
    <col min="8" max="8" width="10.45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49</v>
      </c>
      <c r="B2" s="2" t="s">
        <v>28</v>
      </c>
      <c r="C2" s="2" t="s">
        <v>34</v>
      </c>
      <c r="D2" s="2" t="s">
        <v>14</v>
      </c>
      <c r="E2" s="2">
        <v>5</v>
      </c>
      <c r="F2" s="2">
        <v>204140.09</v>
      </c>
      <c r="G2" s="2" t="s">
        <v>23</v>
      </c>
    </row>
    <row r="3" spans="1:7">
      <c r="A3" s="2" t="s">
        <v>44</v>
      </c>
      <c r="B3" s="2" t="s">
        <v>129</v>
      </c>
      <c r="C3" s="2" t="s">
        <v>9</v>
      </c>
      <c r="D3" s="2" t="s">
        <v>10</v>
      </c>
      <c r="E3" s="2">
        <v>5</v>
      </c>
      <c r="F3" s="2">
        <v>8159.96</v>
      </c>
      <c r="G3" s="2" t="s">
        <v>17</v>
      </c>
    </row>
    <row r="4" spans="1:7">
      <c r="A4" s="2" t="s">
        <v>44</v>
      </c>
      <c r="B4" s="2" t="s">
        <v>127</v>
      </c>
      <c r="C4" s="2" t="s">
        <v>26</v>
      </c>
      <c r="D4" s="2" t="s">
        <v>10</v>
      </c>
      <c r="E4" s="2">
        <v>3</v>
      </c>
      <c r="F4" s="2"/>
      <c r="G4" s="2" t="s">
        <v>11</v>
      </c>
    </row>
    <row r="5" spans="1:7">
      <c r="A5" s="2" t="s">
        <v>7</v>
      </c>
      <c r="B5" s="2" t="s">
        <v>8</v>
      </c>
      <c r="C5" s="2" t="s">
        <v>9</v>
      </c>
      <c r="D5" s="2" t="s">
        <v>10</v>
      </c>
      <c r="E5" s="2">
        <v>0</v>
      </c>
      <c r="F5" s="2">
        <v>7020</v>
      </c>
      <c r="G5" s="2" t="s">
        <v>11</v>
      </c>
    </row>
    <row r="6" spans="1:7">
      <c r="A6" s="2" t="s">
        <v>7</v>
      </c>
      <c r="B6" s="2" t="s">
        <v>8</v>
      </c>
      <c r="C6" s="2" t="s">
        <v>26</v>
      </c>
      <c r="D6" s="2" t="s">
        <v>10</v>
      </c>
      <c r="E6" s="2">
        <v>10</v>
      </c>
      <c r="F6" s="2">
        <v>13927.77</v>
      </c>
      <c r="G6" s="2" t="s">
        <v>17</v>
      </c>
    </row>
    <row r="7" spans="1:7">
      <c r="A7" s="2" t="s">
        <v>72</v>
      </c>
      <c r="B7" s="2" t="s">
        <v>40</v>
      </c>
      <c r="C7" s="2" t="s">
        <v>36</v>
      </c>
      <c r="D7" s="2" t="s">
        <v>14</v>
      </c>
      <c r="E7" s="2">
        <v>5</v>
      </c>
      <c r="F7" s="2"/>
      <c r="G7" s="2" t="s">
        <v>32</v>
      </c>
    </row>
    <row r="8" spans="1:7">
      <c r="A8" s="2" t="s">
        <v>72</v>
      </c>
      <c r="B8" s="2" t="s">
        <v>28</v>
      </c>
      <c r="C8" s="2" t="s">
        <v>27</v>
      </c>
      <c r="D8" s="2" t="s">
        <v>10</v>
      </c>
      <c r="E8" s="2">
        <v>10</v>
      </c>
      <c r="F8" s="2">
        <v>13767.94</v>
      </c>
      <c r="G8" s="2" t="s">
        <v>23</v>
      </c>
    </row>
    <row r="9" spans="1:7">
      <c r="A9" s="2" t="s">
        <v>116</v>
      </c>
      <c r="B9" s="2" t="s">
        <v>127</v>
      </c>
      <c r="C9" s="2" t="s">
        <v>16</v>
      </c>
      <c r="D9" s="2" t="s">
        <v>10</v>
      </c>
      <c r="E9" s="2">
        <v>1</v>
      </c>
      <c r="F9" s="2">
        <v>12658.08</v>
      </c>
      <c r="G9" s="2" t="s">
        <v>17</v>
      </c>
    </row>
    <row r="10" spans="1:7">
      <c r="A10" s="2" t="s">
        <v>116</v>
      </c>
      <c r="B10" s="2" t="s">
        <v>127</v>
      </c>
      <c r="C10" s="2" t="s">
        <v>19</v>
      </c>
      <c r="D10" s="2" t="s">
        <v>20</v>
      </c>
      <c r="E10" s="2">
        <v>5</v>
      </c>
      <c r="F10" s="2"/>
      <c r="G10" s="2" t="s">
        <v>21</v>
      </c>
    </row>
    <row r="11" spans="1:7">
      <c r="A11" s="2" t="s">
        <v>24</v>
      </c>
      <c r="B11" s="2" t="s">
        <v>131</v>
      </c>
      <c r="C11" s="2" t="s">
        <v>13</v>
      </c>
      <c r="D11" s="2" t="s">
        <v>14</v>
      </c>
      <c r="E11" s="2">
        <v>2</v>
      </c>
      <c r="F11" s="2"/>
      <c r="G11" s="2" t="s">
        <v>17</v>
      </c>
    </row>
    <row r="12" spans="1:7">
      <c r="A12" s="12">
        <v>45670</v>
      </c>
      <c r="B12" s="2" t="s">
        <v>8</v>
      </c>
      <c r="C12" s="2" t="s">
        <v>26</v>
      </c>
      <c r="D12" s="2" t="s">
        <v>10</v>
      </c>
      <c r="E12" s="2">
        <v>5</v>
      </c>
      <c r="F12" s="2"/>
      <c r="G12" s="2" t="s">
        <v>29</v>
      </c>
    </row>
    <row r="13" spans="1:7">
      <c r="A13" s="2" t="s">
        <v>52</v>
      </c>
      <c r="B13" s="2" t="s">
        <v>130</v>
      </c>
      <c r="C13" s="2" t="s">
        <v>19</v>
      </c>
      <c r="D13" s="2" t="s">
        <v>20</v>
      </c>
      <c r="E13" s="2">
        <v>1</v>
      </c>
      <c r="F13" s="2">
        <v>91767.26</v>
      </c>
      <c r="G13" s="2" t="s">
        <v>29</v>
      </c>
    </row>
    <row r="14" spans="1:7">
      <c r="A14" s="2" t="s">
        <v>52</v>
      </c>
      <c r="B14" s="2" t="s">
        <v>128</v>
      </c>
      <c r="C14" s="2" t="s">
        <v>34</v>
      </c>
      <c r="D14" s="2" t="s">
        <v>14</v>
      </c>
      <c r="E14" s="2">
        <v>-1</v>
      </c>
      <c r="F14" s="2">
        <v>195995.82</v>
      </c>
      <c r="G14" s="2" t="s">
        <v>43</v>
      </c>
    </row>
    <row r="15" spans="1:7">
      <c r="A15" s="2" t="s">
        <v>118</v>
      </c>
      <c r="B15" s="2" t="s">
        <v>8</v>
      </c>
      <c r="C15" s="2" t="s">
        <v>26</v>
      </c>
      <c r="D15" s="2" t="s">
        <v>10</v>
      </c>
      <c r="E15" s="2">
        <v>7</v>
      </c>
      <c r="F15" s="2">
        <v>13189.05</v>
      </c>
      <c r="G15" s="2" t="s">
        <v>32</v>
      </c>
    </row>
    <row r="16" spans="1:7">
      <c r="A16" s="2" t="s">
        <v>90</v>
      </c>
      <c r="B16" s="2" t="s">
        <v>131</v>
      </c>
      <c r="C16" s="2" t="s">
        <v>31</v>
      </c>
      <c r="D16" s="2" t="s">
        <v>20</v>
      </c>
      <c r="E16" s="2">
        <v>2</v>
      </c>
      <c r="F16" s="2">
        <v>44765.47</v>
      </c>
      <c r="G16" s="2" t="s">
        <v>23</v>
      </c>
    </row>
    <row r="17" spans="1:7">
      <c r="A17" s="2" t="s">
        <v>90</v>
      </c>
      <c r="B17" s="2" t="s">
        <v>128</v>
      </c>
      <c r="C17" s="2" t="s">
        <v>19</v>
      </c>
      <c r="D17" s="2" t="s">
        <v>20</v>
      </c>
      <c r="E17" s="2">
        <v>4</v>
      </c>
      <c r="F17" s="2">
        <v>90133.86</v>
      </c>
      <c r="G17" s="2" t="s">
        <v>43</v>
      </c>
    </row>
    <row r="18" spans="1:7">
      <c r="A18" s="2" t="s">
        <v>122</v>
      </c>
      <c r="B18" s="2" t="s">
        <v>128</v>
      </c>
      <c r="C18" s="2" t="s">
        <v>26</v>
      </c>
      <c r="D18" s="2" t="s">
        <v>10</v>
      </c>
      <c r="E18" s="2">
        <v>5</v>
      </c>
      <c r="F18" s="2">
        <v>16952.41</v>
      </c>
      <c r="G18" s="2" t="s">
        <v>17</v>
      </c>
    </row>
    <row r="19" spans="1:7">
      <c r="A19" s="2" t="s">
        <v>33</v>
      </c>
      <c r="B19" s="2" t="s">
        <v>131</v>
      </c>
      <c r="C19" s="2" t="s">
        <v>34</v>
      </c>
      <c r="D19" s="2" t="s">
        <v>14</v>
      </c>
      <c r="E19" s="2">
        <v>10</v>
      </c>
      <c r="F19" s="2">
        <v>193020.41</v>
      </c>
      <c r="G19" s="2" t="s">
        <v>11</v>
      </c>
    </row>
    <row r="20" spans="1:7">
      <c r="A20" s="2" t="s">
        <v>33</v>
      </c>
      <c r="B20" s="2" t="s">
        <v>8</v>
      </c>
      <c r="C20" s="2" t="s">
        <v>36</v>
      </c>
      <c r="D20" s="2" t="s">
        <v>14</v>
      </c>
      <c r="E20" s="2">
        <v>0</v>
      </c>
      <c r="F20" s="2">
        <v>314132.18</v>
      </c>
      <c r="G20" s="2" t="s">
        <v>11</v>
      </c>
    </row>
    <row r="21" spans="1:7">
      <c r="A21" s="2" t="s">
        <v>33</v>
      </c>
      <c r="B21" s="2" t="s">
        <v>130</v>
      </c>
      <c r="C21" s="2" t="s">
        <v>19</v>
      </c>
      <c r="D21" s="2" t="s">
        <v>20</v>
      </c>
      <c r="E21" s="2">
        <v>7</v>
      </c>
      <c r="F21" s="2">
        <v>87243.92</v>
      </c>
      <c r="G21" s="2"/>
    </row>
    <row r="22" spans="1:7">
      <c r="A22" s="2" t="s">
        <v>37</v>
      </c>
      <c r="B22" s="2" t="s">
        <v>131</v>
      </c>
      <c r="C22" s="2" t="s">
        <v>9</v>
      </c>
      <c r="D22" s="2" t="s">
        <v>10</v>
      </c>
      <c r="E22" s="2">
        <v>1</v>
      </c>
      <c r="F22" s="2"/>
      <c r="G22" s="2" t="s">
        <v>23</v>
      </c>
    </row>
    <row r="23" spans="1:7">
      <c r="A23" s="2" t="s">
        <v>37</v>
      </c>
      <c r="B23" s="2" t="s">
        <v>40</v>
      </c>
      <c r="C23" s="2" t="s">
        <v>19</v>
      </c>
      <c r="D23" s="2" t="s">
        <v>20</v>
      </c>
      <c r="E23" s="2">
        <v>5</v>
      </c>
      <c r="F23" s="2">
        <v>79645.63</v>
      </c>
      <c r="G23" s="2" t="s">
        <v>11</v>
      </c>
    </row>
    <row r="24" spans="1:7">
      <c r="A24" s="2" t="s">
        <v>100</v>
      </c>
      <c r="B24" s="2" t="s">
        <v>130</v>
      </c>
      <c r="C24" s="2" t="s">
        <v>31</v>
      </c>
      <c r="D24" s="2" t="s">
        <v>20</v>
      </c>
      <c r="E24" s="2">
        <v>3</v>
      </c>
      <c r="F24" s="2">
        <v>39663.14</v>
      </c>
      <c r="G24" s="2" t="s">
        <v>17</v>
      </c>
    </row>
    <row r="25" spans="1:7">
      <c r="A25" s="2" t="s">
        <v>18</v>
      </c>
      <c r="B25" s="2" t="s">
        <v>129</v>
      </c>
      <c r="C25" s="2" t="s">
        <v>19</v>
      </c>
      <c r="D25" s="2" t="s">
        <v>20</v>
      </c>
      <c r="E25" s="2">
        <v>8</v>
      </c>
      <c r="F25" s="2">
        <v>76173.37</v>
      </c>
      <c r="G25" s="2" t="s">
        <v>21</v>
      </c>
    </row>
    <row r="26" spans="1:7">
      <c r="A26" s="2" t="s">
        <v>18</v>
      </c>
      <c r="B26" s="2" t="s">
        <v>40</v>
      </c>
      <c r="C26" s="2" t="s">
        <v>26</v>
      </c>
      <c r="D26" s="2" t="s">
        <v>10</v>
      </c>
      <c r="E26" s="2">
        <v>9</v>
      </c>
      <c r="F26" s="2"/>
      <c r="G26" s="2" t="s">
        <v>29</v>
      </c>
    </row>
    <row r="27" spans="1:7">
      <c r="A27" s="2" t="s">
        <v>18</v>
      </c>
      <c r="B27" s="2" t="s">
        <v>131</v>
      </c>
      <c r="C27" s="2" t="s">
        <v>36</v>
      </c>
      <c r="D27" s="2" t="s">
        <v>14</v>
      </c>
      <c r="E27" s="2">
        <v>5</v>
      </c>
      <c r="F27" s="2">
        <v>388950.08</v>
      </c>
      <c r="G27" s="2" t="s">
        <v>21</v>
      </c>
    </row>
    <row r="28" spans="1:7">
      <c r="A28" s="2" t="s">
        <v>96</v>
      </c>
      <c r="B28" s="2" t="s">
        <v>8</v>
      </c>
      <c r="C28" s="2" t="s">
        <v>36</v>
      </c>
      <c r="D28" s="2" t="s">
        <v>14</v>
      </c>
      <c r="E28" s="2">
        <v>5</v>
      </c>
      <c r="F28" s="2"/>
      <c r="G28" s="2" t="s">
        <v>23</v>
      </c>
    </row>
    <row r="29" spans="1:7">
      <c r="A29" s="2" t="s">
        <v>96</v>
      </c>
      <c r="B29" s="2" t="s">
        <v>28</v>
      </c>
      <c r="C29" s="2" t="s">
        <v>34</v>
      </c>
      <c r="D29" s="2" t="s">
        <v>14</v>
      </c>
      <c r="E29" s="2">
        <v>7</v>
      </c>
      <c r="F29" s="2">
        <v>179016.2</v>
      </c>
      <c r="G29" s="2"/>
    </row>
    <row r="30" spans="1:7">
      <c r="A30" s="2" t="s">
        <v>92</v>
      </c>
      <c r="B30" s="2" t="s">
        <v>127</v>
      </c>
      <c r="C30" s="2" t="s">
        <v>36</v>
      </c>
      <c r="D30" s="2" t="s">
        <v>14</v>
      </c>
      <c r="E30" s="2">
        <v>5</v>
      </c>
      <c r="F30" s="2">
        <v>383639.73</v>
      </c>
      <c r="G30" s="2" t="s">
        <v>17</v>
      </c>
    </row>
    <row r="31" spans="1:7">
      <c r="A31" s="2" t="s">
        <v>105</v>
      </c>
      <c r="B31" s="2" t="s">
        <v>40</v>
      </c>
      <c r="C31" s="2" t="s">
        <v>16</v>
      </c>
      <c r="D31" s="2" t="s">
        <v>10</v>
      </c>
      <c r="E31" s="2">
        <v>10</v>
      </c>
      <c r="F31" s="2">
        <v>11105.06</v>
      </c>
      <c r="G31" s="2" t="s">
        <v>17</v>
      </c>
    </row>
    <row r="32" spans="1:7">
      <c r="A32" s="2" t="s">
        <v>71</v>
      </c>
      <c r="B32" s="2" t="s">
        <v>128</v>
      </c>
      <c r="C32" s="2" t="s">
        <v>9</v>
      </c>
      <c r="D32" s="2" t="s">
        <v>10</v>
      </c>
      <c r="E32" s="2">
        <v>7</v>
      </c>
      <c r="F32" s="2">
        <v>8009.15</v>
      </c>
      <c r="G32" s="2" t="s">
        <v>21</v>
      </c>
    </row>
    <row r="33" spans="1:7">
      <c r="A33" s="2" t="s">
        <v>71</v>
      </c>
      <c r="B33" s="2" t="s">
        <v>28</v>
      </c>
      <c r="C33" s="2" t="s">
        <v>36</v>
      </c>
      <c r="D33" s="2" t="s">
        <v>14</v>
      </c>
      <c r="E33" s="2">
        <v>3</v>
      </c>
      <c r="F33" s="2">
        <v>321202.15999999997</v>
      </c>
      <c r="G33" s="2" t="s">
        <v>23</v>
      </c>
    </row>
    <row r="34" spans="1:7">
      <c r="A34" s="2" t="s">
        <v>66</v>
      </c>
      <c r="B34" s="2" t="s">
        <v>40</v>
      </c>
      <c r="C34" s="2" t="s">
        <v>26</v>
      </c>
      <c r="D34" s="2" t="s">
        <v>10</v>
      </c>
      <c r="E34" s="2">
        <v>2</v>
      </c>
      <c r="F34" s="2">
        <v>12963.47</v>
      </c>
      <c r="G34" s="2" t="s">
        <v>11</v>
      </c>
    </row>
    <row r="35" spans="1:7">
      <c r="A35" s="2" t="s">
        <v>106</v>
      </c>
      <c r="B35" s="2" t="s">
        <v>28</v>
      </c>
      <c r="C35" s="2" t="s">
        <v>26</v>
      </c>
      <c r="D35" s="2" t="s">
        <v>10</v>
      </c>
      <c r="E35" s="2">
        <v>10</v>
      </c>
      <c r="F35" s="2">
        <v>15291.86</v>
      </c>
      <c r="G35" s="2" t="s">
        <v>29</v>
      </c>
    </row>
    <row r="36" spans="1:7">
      <c r="A36" s="2" t="s">
        <v>106</v>
      </c>
      <c r="B36" s="2" t="s">
        <v>8</v>
      </c>
      <c r="C36" s="2" t="s">
        <v>27</v>
      </c>
      <c r="D36" s="2" t="s">
        <v>20</v>
      </c>
      <c r="E36" s="2">
        <v>3</v>
      </c>
      <c r="F36" s="2"/>
      <c r="G36" s="2" t="s">
        <v>29</v>
      </c>
    </row>
    <row r="37" spans="1:7">
      <c r="A37" s="2" t="s">
        <v>80</v>
      </c>
      <c r="B37" s="2" t="s">
        <v>28</v>
      </c>
      <c r="C37" s="2" t="s">
        <v>16</v>
      </c>
      <c r="D37" s="2" t="s">
        <v>10</v>
      </c>
      <c r="E37" s="2">
        <v>3</v>
      </c>
      <c r="F37" s="2">
        <v>12524.88</v>
      </c>
      <c r="G37" s="2" t="s">
        <v>11</v>
      </c>
    </row>
    <row r="38" spans="1:7">
      <c r="A38" s="2" t="s">
        <v>80</v>
      </c>
      <c r="B38" s="2" t="s">
        <v>131</v>
      </c>
      <c r="C38" s="2" t="s">
        <v>19</v>
      </c>
      <c r="D38" s="2" t="s">
        <v>20</v>
      </c>
      <c r="E38" s="2">
        <v>5</v>
      </c>
      <c r="F38" s="2">
        <v>85057.33</v>
      </c>
      <c r="G38" s="2" t="s">
        <v>23</v>
      </c>
    </row>
    <row r="39" spans="1:7">
      <c r="A39" s="2" t="s">
        <v>55</v>
      </c>
      <c r="B39" s="2" t="s">
        <v>8</v>
      </c>
      <c r="C39" s="2" t="s">
        <v>27</v>
      </c>
      <c r="D39" s="2" t="s">
        <v>20</v>
      </c>
      <c r="E39" s="2">
        <v>5</v>
      </c>
      <c r="F39" s="2">
        <v>73299.990000000005</v>
      </c>
      <c r="G39" s="2" t="s">
        <v>23</v>
      </c>
    </row>
    <row r="40" spans="1:7">
      <c r="A40" s="2" t="s">
        <v>55</v>
      </c>
      <c r="B40" s="2" t="s">
        <v>130</v>
      </c>
      <c r="C40" s="2" t="s">
        <v>9</v>
      </c>
      <c r="D40" s="2" t="s">
        <v>10</v>
      </c>
      <c r="E40" s="2">
        <v>9</v>
      </c>
      <c r="F40" s="2">
        <v>7040.92</v>
      </c>
      <c r="G40" s="2" t="s">
        <v>11</v>
      </c>
    </row>
    <row r="41" spans="1:7">
      <c r="A41" s="2" t="s">
        <v>55</v>
      </c>
      <c r="B41" s="2" t="s">
        <v>129</v>
      </c>
      <c r="C41" s="2" t="s">
        <v>26</v>
      </c>
      <c r="D41" s="2" t="s">
        <v>10</v>
      </c>
      <c r="E41" s="2">
        <v>6</v>
      </c>
      <c r="F41" s="2">
        <v>13062.14</v>
      </c>
      <c r="G41" s="2" t="s">
        <v>23</v>
      </c>
    </row>
    <row r="42" spans="1:7">
      <c r="A42" s="2" t="s">
        <v>95</v>
      </c>
      <c r="B42" s="2" t="s">
        <v>40</v>
      </c>
      <c r="C42" s="2" t="s">
        <v>19</v>
      </c>
      <c r="D42" s="2" t="s">
        <v>20</v>
      </c>
      <c r="E42" s="2">
        <v>2</v>
      </c>
      <c r="F42" s="2">
        <v>76356.73</v>
      </c>
      <c r="G42" s="2" t="s">
        <v>43</v>
      </c>
    </row>
    <row r="43" spans="1:7">
      <c r="A43" s="2" t="s">
        <v>95</v>
      </c>
      <c r="B43" s="2" t="s">
        <v>131</v>
      </c>
      <c r="C43" s="2" t="s">
        <v>26</v>
      </c>
      <c r="D43" s="2" t="s">
        <v>10</v>
      </c>
      <c r="E43" s="2">
        <v>1</v>
      </c>
      <c r="F43" s="2">
        <v>13482.82</v>
      </c>
      <c r="G43" s="2" t="s">
        <v>32</v>
      </c>
    </row>
    <row r="44" spans="1:7">
      <c r="A44" s="2" t="s">
        <v>59</v>
      </c>
      <c r="B44" s="2" t="s">
        <v>28</v>
      </c>
      <c r="C44" s="2" t="s">
        <v>13</v>
      </c>
      <c r="D44" s="2" t="s">
        <v>14</v>
      </c>
      <c r="E44" s="2">
        <v>8</v>
      </c>
      <c r="F44" s="2">
        <v>105878.62</v>
      </c>
      <c r="G44" s="2" t="s">
        <v>17</v>
      </c>
    </row>
    <row r="45" spans="1:7">
      <c r="A45" s="2" t="s">
        <v>59</v>
      </c>
      <c r="B45" s="2" t="s">
        <v>8</v>
      </c>
      <c r="C45" s="2" t="s">
        <v>16</v>
      </c>
      <c r="D45" s="2" t="s">
        <v>10</v>
      </c>
      <c r="E45" s="2">
        <v>8</v>
      </c>
      <c r="F45" s="2">
        <v>11955.67</v>
      </c>
      <c r="G45" s="2" t="s">
        <v>17</v>
      </c>
    </row>
    <row r="46" spans="1:7">
      <c r="A46" s="2" t="s">
        <v>53</v>
      </c>
      <c r="B46" s="2" t="s">
        <v>130</v>
      </c>
      <c r="C46" s="2" t="s">
        <v>27</v>
      </c>
      <c r="D46" s="2" t="s">
        <v>14</v>
      </c>
      <c r="E46" s="2">
        <v>7</v>
      </c>
      <c r="F46" s="2"/>
      <c r="G46" s="2" t="s">
        <v>11</v>
      </c>
    </row>
    <row r="47" spans="1:7">
      <c r="A47" s="2" t="s">
        <v>111</v>
      </c>
      <c r="B47" s="2" t="s">
        <v>127</v>
      </c>
      <c r="C47" s="2" t="s">
        <v>16</v>
      </c>
      <c r="D47" s="2" t="s">
        <v>10</v>
      </c>
      <c r="E47" s="2">
        <v>4</v>
      </c>
      <c r="F47" s="2">
        <v>11190.13</v>
      </c>
      <c r="G47" s="2" t="s">
        <v>32</v>
      </c>
    </row>
    <row r="48" spans="1:7">
      <c r="A48" s="2" t="s">
        <v>117</v>
      </c>
      <c r="B48" s="2" t="s">
        <v>131</v>
      </c>
      <c r="C48" s="2" t="s">
        <v>31</v>
      </c>
      <c r="D48" s="2" t="s">
        <v>20</v>
      </c>
      <c r="E48" s="2">
        <v>4</v>
      </c>
      <c r="F48" s="2">
        <v>49789.24</v>
      </c>
      <c r="G48" s="2"/>
    </row>
    <row r="49" spans="1:7">
      <c r="A49" s="2" t="s">
        <v>97</v>
      </c>
      <c r="B49" s="2" t="s">
        <v>129</v>
      </c>
      <c r="C49" s="2" t="s">
        <v>9</v>
      </c>
      <c r="D49" s="2" t="s">
        <v>10</v>
      </c>
      <c r="E49" s="2">
        <v>10</v>
      </c>
      <c r="F49" s="2">
        <v>7286.17</v>
      </c>
      <c r="G49" s="2"/>
    </row>
    <row r="50" spans="1:7">
      <c r="A50" s="2" t="s">
        <v>97</v>
      </c>
      <c r="B50" s="2" t="s">
        <v>40</v>
      </c>
      <c r="C50" s="2" t="s">
        <v>36</v>
      </c>
      <c r="D50" s="2" t="s">
        <v>14</v>
      </c>
      <c r="E50" s="2">
        <v>5</v>
      </c>
      <c r="F50" s="2">
        <v>316216.90999999997</v>
      </c>
      <c r="G50" s="2" t="s">
        <v>11</v>
      </c>
    </row>
    <row r="51" spans="1:7">
      <c r="A51" s="2" t="s">
        <v>63</v>
      </c>
      <c r="B51" s="2" t="s">
        <v>130</v>
      </c>
      <c r="C51" s="2" t="s">
        <v>31</v>
      </c>
      <c r="D51" s="2" t="s">
        <v>20</v>
      </c>
      <c r="E51" s="2">
        <v>6</v>
      </c>
      <c r="F51" s="2"/>
      <c r="G51" s="2" t="s">
        <v>23</v>
      </c>
    </row>
    <row r="52" spans="1:7">
      <c r="A52" s="2" t="s">
        <v>114</v>
      </c>
      <c r="B52" s="2" t="s">
        <v>129</v>
      </c>
      <c r="C52" s="2" t="s">
        <v>34</v>
      </c>
      <c r="D52" s="2" t="s">
        <v>14</v>
      </c>
      <c r="E52" s="2">
        <v>9</v>
      </c>
      <c r="F52" s="2"/>
      <c r="G52" s="2" t="s">
        <v>32</v>
      </c>
    </row>
    <row r="53" spans="1:7">
      <c r="A53" s="2" t="s">
        <v>91</v>
      </c>
      <c r="B53" s="2" t="s">
        <v>130</v>
      </c>
      <c r="C53" s="2" t="s">
        <v>31</v>
      </c>
      <c r="D53" s="2" t="s">
        <v>20</v>
      </c>
      <c r="E53" s="2">
        <v>10</v>
      </c>
      <c r="F53" s="2"/>
      <c r="G53" s="2" t="s">
        <v>17</v>
      </c>
    </row>
    <row r="54" spans="1:7">
      <c r="A54" s="2" t="s">
        <v>91</v>
      </c>
      <c r="B54" s="2" t="s">
        <v>28</v>
      </c>
      <c r="C54" s="2" t="s">
        <v>26</v>
      </c>
      <c r="D54" s="2" t="s">
        <v>10</v>
      </c>
      <c r="E54" s="2">
        <v>7</v>
      </c>
      <c r="F54" s="2">
        <v>13515.87</v>
      </c>
      <c r="G54" s="2"/>
    </row>
    <row r="55" spans="1:7">
      <c r="A55" s="2" t="s">
        <v>57</v>
      </c>
      <c r="B55" s="2" t="s">
        <v>127</v>
      </c>
      <c r="C55" s="2" t="s">
        <v>16</v>
      </c>
      <c r="D55" s="2" t="s">
        <v>10</v>
      </c>
      <c r="E55" s="2">
        <v>4</v>
      </c>
      <c r="F55" s="2">
        <v>13057.78</v>
      </c>
      <c r="G55" s="2" t="s">
        <v>11</v>
      </c>
    </row>
    <row r="56" spans="1:7">
      <c r="A56" s="2" t="s">
        <v>57</v>
      </c>
      <c r="B56" s="2" t="s">
        <v>128</v>
      </c>
      <c r="C56" s="2" t="s">
        <v>26</v>
      </c>
      <c r="D56" s="2" t="s">
        <v>10</v>
      </c>
      <c r="E56" s="2">
        <v>10</v>
      </c>
      <c r="F56" s="2">
        <v>15980.14</v>
      </c>
      <c r="G56" s="2" t="s">
        <v>23</v>
      </c>
    </row>
    <row r="57" spans="1:7">
      <c r="A57" s="2" t="s">
        <v>57</v>
      </c>
      <c r="B57" s="2" t="s">
        <v>127</v>
      </c>
      <c r="C57" s="2" t="s">
        <v>26</v>
      </c>
      <c r="D57" s="2" t="s">
        <v>10</v>
      </c>
      <c r="E57" s="2">
        <v>7</v>
      </c>
      <c r="F57" s="2">
        <v>16026.02</v>
      </c>
      <c r="G57" s="2" t="s">
        <v>23</v>
      </c>
    </row>
    <row r="58" spans="1:7">
      <c r="A58" s="2" t="s">
        <v>124</v>
      </c>
      <c r="B58" s="2" t="s">
        <v>127</v>
      </c>
      <c r="C58" s="2" t="s">
        <v>19</v>
      </c>
      <c r="D58" s="2" t="s">
        <v>20</v>
      </c>
      <c r="E58" s="2">
        <v>7</v>
      </c>
      <c r="F58" s="2">
        <v>80872.61</v>
      </c>
      <c r="G58" s="2"/>
    </row>
    <row r="59" spans="1:7">
      <c r="A59" s="2" t="s">
        <v>87</v>
      </c>
      <c r="B59" s="2" t="s">
        <v>127</v>
      </c>
      <c r="C59" s="2" t="s">
        <v>13</v>
      </c>
      <c r="D59" s="2" t="s">
        <v>14</v>
      </c>
      <c r="E59" s="2">
        <v>2</v>
      </c>
      <c r="F59" s="2">
        <v>106607.48</v>
      </c>
      <c r="G59" s="2" t="s">
        <v>43</v>
      </c>
    </row>
    <row r="60" spans="1:7">
      <c r="A60" s="2" t="s">
        <v>67</v>
      </c>
      <c r="B60" s="2" t="s">
        <v>130</v>
      </c>
      <c r="C60" s="2" t="s">
        <v>26</v>
      </c>
      <c r="D60" s="2" t="s">
        <v>10</v>
      </c>
      <c r="E60" s="2">
        <v>1</v>
      </c>
      <c r="F60" s="2">
        <v>15976.72</v>
      </c>
      <c r="G60" s="2" t="s">
        <v>43</v>
      </c>
    </row>
    <row r="61" spans="1:7">
      <c r="A61" s="2" t="s">
        <v>125</v>
      </c>
      <c r="B61" s="2" t="s">
        <v>40</v>
      </c>
      <c r="C61" s="2" t="s">
        <v>13</v>
      </c>
      <c r="D61" s="2" t="s">
        <v>14</v>
      </c>
      <c r="E61" s="2">
        <v>6</v>
      </c>
      <c r="F61" s="2"/>
      <c r="G61" s="2" t="s">
        <v>23</v>
      </c>
    </row>
    <row r="62" spans="1:7">
      <c r="A62" s="2" t="s">
        <v>102</v>
      </c>
      <c r="B62" s="2" t="s">
        <v>129</v>
      </c>
      <c r="C62" s="2" t="s">
        <v>16</v>
      </c>
      <c r="D62" s="2" t="s">
        <v>10</v>
      </c>
      <c r="E62" s="2">
        <v>4</v>
      </c>
      <c r="F62" s="2">
        <v>11884.61</v>
      </c>
      <c r="G62" s="2" t="s">
        <v>21</v>
      </c>
    </row>
    <row r="63" spans="1:7">
      <c r="A63" s="2" t="s">
        <v>38</v>
      </c>
      <c r="B63" s="2" t="s">
        <v>127</v>
      </c>
      <c r="C63" s="2" t="s">
        <v>26</v>
      </c>
      <c r="D63" s="2" t="s">
        <v>10</v>
      </c>
      <c r="E63" s="2">
        <v>2</v>
      </c>
      <c r="F63" s="2">
        <v>14934.23</v>
      </c>
      <c r="G63" s="2" t="s">
        <v>21</v>
      </c>
    </row>
    <row r="64" spans="1:7">
      <c r="A64" s="2" t="s">
        <v>68</v>
      </c>
      <c r="B64" s="2" t="s">
        <v>28</v>
      </c>
      <c r="C64" s="2" t="s">
        <v>26</v>
      </c>
      <c r="D64" s="2" t="s">
        <v>10</v>
      </c>
      <c r="E64" s="2">
        <v>3</v>
      </c>
      <c r="F64" s="2">
        <v>15792.03</v>
      </c>
      <c r="G64" s="2" t="s">
        <v>43</v>
      </c>
    </row>
    <row r="65" spans="1:7">
      <c r="A65" s="2" t="s">
        <v>68</v>
      </c>
      <c r="B65" s="2" t="s">
        <v>129</v>
      </c>
      <c r="C65" s="2" t="s">
        <v>36</v>
      </c>
      <c r="D65" s="2" t="s">
        <v>14</v>
      </c>
      <c r="E65" s="2">
        <v>0</v>
      </c>
      <c r="F65" s="2">
        <v>383679.59</v>
      </c>
      <c r="G65" s="2" t="s">
        <v>23</v>
      </c>
    </row>
    <row r="66" spans="1:7">
      <c r="A66" s="2" t="s">
        <v>68</v>
      </c>
      <c r="B66" s="2" t="s">
        <v>8</v>
      </c>
      <c r="C66" s="2" t="s">
        <v>36</v>
      </c>
      <c r="D66" s="2" t="s">
        <v>14</v>
      </c>
      <c r="E66" s="2">
        <v>6</v>
      </c>
      <c r="F66" s="2">
        <v>339552.57</v>
      </c>
      <c r="G66" s="2" t="s">
        <v>32</v>
      </c>
    </row>
    <row r="67" spans="1:7">
      <c r="A67" s="2" t="s">
        <v>98</v>
      </c>
      <c r="B67" s="2" t="s">
        <v>131</v>
      </c>
      <c r="C67" s="2" t="s">
        <v>26</v>
      </c>
      <c r="D67" s="2" t="s">
        <v>10</v>
      </c>
      <c r="E67" s="2">
        <v>1</v>
      </c>
      <c r="F67" s="2">
        <v>15886.27</v>
      </c>
      <c r="G67" s="2" t="s">
        <v>23</v>
      </c>
    </row>
    <row r="68" spans="1:7">
      <c r="A68" s="2" t="s">
        <v>98</v>
      </c>
      <c r="B68" s="2" t="s">
        <v>40</v>
      </c>
      <c r="C68" s="2" t="s">
        <v>34</v>
      </c>
      <c r="D68" s="2" t="s">
        <v>14</v>
      </c>
      <c r="E68" s="2">
        <v>8</v>
      </c>
      <c r="F68" s="2"/>
      <c r="G68" s="2" t="s">
        <v>32</v>
      </c>
    </row>
    <row r="69" spans="1:7">
      <c r="A69" s="2" t="s">
        <v>35</v>
      </c>
      <c r="B69" s="2" t="s">
        <v>130</v>
      </c>
      <c r="C69" s="2" t="s">
        <v>36</v>
      </c>
      <c r="D69" s="2" t="s">
        <v>14</v>
      </c>
      <c r="E69" s="2">
        <v>10</v>
      </c>
      <c r="F69" s="2"/>
      <c r="G69" s="2" t="s">
        <v>29</v>
      </c>
    </row>
    <row r="70" spans="1:7">
      <c r="A70" s="2" t="s">
        <v>112</v>
      </c>
      <c r="B70" s="2" t="s">
        <v>128</v>
      </c>
      <c r="C70" s="2" t="s">
        <v>26</v>
      </c>
      <c r="D70" s="2" t="s">
        <v>10</v>
      </c>
      <c r="E70" s="2">
        <v>7</v>
      </c>
      <c r="F70" s="2">
        <v>17221.41</v>
      </c>
      <c r="G70" s="2" t="s">
        <v>29</v>
      </c>
    </row>
    <row r="71" spans="1:7">
      <c r="A71" s="2" t="s">
        <v>112</v>
      </c>
      <c r="B71" s="2" t="s">
        <v>40</v>
      </c>
      <c r="C71" s="2" t="s">
        <v>36</v>
      </c>
      <c r="D71" s="2" t="s">
        <v>14</v>
      </c>
      <c r="E71" s="2">
        <v>7</v>
      </c>
      <c r="F71" s="2">
        <v>335230.39</v>
      </c>
      <c r="G71" s="2" t="s">
        <v>43</v>
      </c>
    </row>
    <row r="72" spans="1:7">
      <c r="A72" s="2" t="s">
        <v>48</v>
      </c>
      <c r="B72" s="2" t="s">
        <v>131</v>
      </c>
      <c r="C72" s="2" t="s">
        <v>9</v>
      </c>
      <c r="D72" s="2" t="s">
        <v>10</v>
      </c>
      <c r="E72" s="2">
        <v>9</v>
      </c>
      <c r="F72" s="2"/>
      <c r="G72" s="2"/>
    </row>
    <row r="73" spans="1:7">
      <c r="A73" s="2" t="s">
        <v>70</v>
      </c>
      <c r="B73" s="2" t="s">
        <v>130</v>
      </c>
      <c r="C73" s="2" t="s">
        <v>36</v>
      </c>
      <c r="D73" s="2" t="s">
        <v>14</v>
      </c>
      <c r="E73" s="2">
        <v>5</v>
      </c>
      <c r="F73" s="2">
        <v>374619.09</v>
      </c>
      <c r="G73" s="2"/>
    </row>
    <row r="74" spans="1:7">
      <c r="A74" s="2" t="s">
        <v>70</v>
      </c>
      <c r="B74" s="2" t="s">
        <v>8</v>
      </c>
      <c r="C74" s="2" t="s">
        <v>36</v>
      </c>
      <c r="D74" s="2" t="s">
        <v>14</v>
      </c>
      <c r="E74" s="2">
        <v>1</v>
      </c>
      <c r="F74" s="2">
        <v>322447.65000000002</v>
      </c>
      <c r="G74" s="2" t="s">
        <v>17</v>
      </c>
    </row>
    <row r="75" spans="1:7">
      <c r="A75" s="2" t="s">
        <v>84</v>
      </c>
      <c r="B75" s="2" t="s">
        <v>131</v>
      </c>
      <c r="C75" s="2" t="s">
        <v>9</v>
      </c>
      <c r="D75" s="2" t="s">
        <v>10</v>
      </c>
      <c r="E75" s="2">
        <v>6</v>
      </c>
      <c r="F75" s="2">
        <v>9199.8700000000008</v>
      </c>
      <c r="G75" s="2" t="s">
        <v>21</v>
      </c>
    </row>
    <row r="76" spans="1:7">
      <c r="A76" s="2" t="s">
        <v>121</v>
      </c>
      <c r="B76" s="2" t="s">
        <v>131</v>
      </c>
      <c r="C76" s="2" t="s">
        <v>13</v>
      </c>
      <c r="D76" s="2" t="s">
        <v>14</v>
      </c>
      <c r="E76" s="2">
        <v>5</v>
      </c>
      <c r="F76" s="2"/>
      <c r="G76" s="2" t="s">
        <v>17</v>
      </c>
    </row>
    <row r="77" spans="1:7">
      <c r="A77" s="2" t="s">
        <v>51</v>
      </c>
      <c r="B77" s="2" t="s">
        <v>28</v>
      </c>
      <c r="C77" s="2" t="s">
        <v>36</v>
      </c>
      <c r="D77" s="2" t="s">
        <v>14</v>
      </c>
      <c r="E77" s="2">
        <v>9</v>
      </c>
      <c r="F77" s="2">
        <v>303650.28999999998</v>
      </c>
      <c r="G77" s="2" t="s">
        <v>11</v>
      </c>
    </row>
    <row r="78" spans="1:7">
      <c r="A78" s="2" t="s">
        <v>51</v>
      </c>
      <c r="B78" s="2" t="s">
        <v>131</v>
      </c>
      <c r="C78" s="2" t="s">
        <v>26</v>
      </c>
      <c r="D78" s="2" t="s">
        <v>10</v>
      </c>
      <c r="E78" s="2">
        <v>3</v>
      </c>
      <c r="F78" s="2">
        <v>15469.86</v>
      </c>
      <c r="G78" s="2" t="s">
        <v>17</v>
      </c>
    </row>
    <row r="79" spans="1:7">
      <c r="A79" s="2" t="s">
        <v>94</v>
      </c>
      <c r="B79" s="2" t="s">
        <v>28</v>
      </c>
      <c r="C79" s="2" t="s">
        <v>16</v>
      </c>
      <c r="D79" s="2" t="s">
        <v>10</v>
      </c>
      <c r="E79" s="2">
        <v>8</v>
      </c>
      <c r="F79" s="2"/>
      <c r="G79" s="2" t="s">
        <v>23</v>
      </c>
    </row>
    <row r="80" spans="1:7">
      <c r="A80" s="2" t="s">
        <v>64</v>
      </c>
      <c r="B80" s="2" t="s">
        <v>8</v>
      </c>
      <c r="C80" s="2" t="s">
        <v>9</v>
      </c>
      <c r="D80" s="2" t="s">
        <v>10</v>
      </c>
      <c r="E80" s="2">
        <v>6</v>
      </c>
      <c r="F80" s="2">
        <v>8809.18</v>
      </c>
      <c r="G80" s="2" t="s">
        <v>32</v>
      </c>
    </row>
    <row r="81" spans="1:7">
      <c r="A81" s="2" t="s">
        <v>64</v>
      </c>
      <c r="B81" s="2" t="s">
        <v>8</v>
      </c>
      <c r="C81" s="2" t="s">
        <v>26</v>
      </c>
      <c r="D81" s="2" t="s">
        <v>10</v>
      </c>
      <c r="E81" s="2">
        <v>7</v>
      </c>
      <c r="F81" s="2">
        <v>14907.33</v>
      </c>
      <c r="G81" s="2" t="s">
        <v>21</v>
      </c>
    </row>
    <row r="82" spans="1:7">
      <c r="A82" s="2" t="s">
        <v>79</v>
      </c>
      <c r="B82" s="2" t="s">
        <v>40</v>
      </c>
      <c r="C82" s="2" t="s">
        <v>31</v>
      </c>
      <c r="D82" s="2" t="s">
        <v>20</v>
      </c>
      <c r="E82" s="2">
        <v>4</v>
      </c>
      <c r="F82" s="2">
        <v>49113.74</v>
      </c>
      <c r="G82" s="2"/>
    </row>
    <row r="83" spans="1:7">
      <c r="A83" s="2" t="s">
        <v>79</v>
      </c>
      <c r="B83" s="2" t="s">
        <v>28</v>
      </c>
      <c r="C83" s="2" t="s">
        <v>19</v>
      </c>
      <c r="D83" s="2" t="s">
        <v>20</v>
      </c>
      <c r="E83" s="2">
        <v>10</v>
      </c>
      <c r="F83" s="2">
        <v>85269.65</v>
      </c>
      <c r="G83" s="2" t="s">
        <v>11</v>
      </c>
    </row>
    <row r="84" spans="1:7">
      <c r="A84" s="2" t="s">
        <v>108</v>
      </c>
      <c r="B84" s="2" t="s">
        <v>28</v>
      </c>
      <c r="C84" s="2" t="s">
        <v>36</v>
      </c>
      <c r="D84" s="2" t="s">
        <v>14</v>
      </c>
      <c r="E84" s="2">
        <v>6</v>
      </c>
      <c r="F84" s="2">
        <v>320845.82</v>
      </c>
      <c r="G84" s="2" t="s">
        <v>43</v>
      </c>
    </row>
    <row r="85" spans="1:7">
      <c r="A85" s="2" t="s">
        <v>108</v>
      </c>
      <c r="B85" s="2" t="s">
        <v>130</v>
      </c>
      <c r="C85" s="2" t="s">
        <v>34</v>
      </c>
      <c r="D85" s="2" t="s">
        <v>14</v>
      </c>
      <c r="E85" s="2">
        <v>5</v>
      </c>
      <c r="F85" s="2"/>
      <c r="G85" s="2" t="s">
        <v>29</v>
      </c>
    </row>
    <row r="86" spans="1:7">
      <c r="A86" s="2" t="s">
        <v>108</v>
      </c>
      <c r="B86" s="2" t="s">
        <v>131</v>
      </c>
      <c r="C86" s="2"/>
      <c r="D86" s="2" t="s">
        <v>20</v>
      </c>
      <c r="E86" s="2">
        <v>6</v>
      </c>
      <c r="F86" s="2">
        <v>42407.83</v>
      </c>
      <c r="G86" s="2"/>
    </row>
    <row r="87" spans="1:7">
      <c r="A87" s="2" t="s">
        <v>41</v>
      </c>
      <c r="B87" s="2" t="s">
        <v>129</v>
      </c>
      <c r="C87" s="2" t="s">
        <v>34</v>
      </c>
      <c r="D87" s="2" t="s">
        <v>14</v>
      </c>
      <c r="E87" s="2">
        <v>1</v>
      </c>
      <c r="F87" s="2"/>
      <c r="G87" s="2" t="s">
        <v>11</v>
      </c>
    </row>
    <row r="88" spans="1:7">
      <c r="A88" s="2" t="s">
        <v>41</v>
      </c>
      <c r="B88" s="2" t="s">
        <v>40</v>
      </c>
      <c r="C88" s="2" t="s">
        <v>9</v>
      </c>
      <c r="D88" s="2" t="s">
        <v>10</v>
      </c>
      <c r="E88" s="2">
        <v>1</v>
      </c>
      <c r="F88" s="2">
        <v>9102.31</v>
      </c>
      <c r="G88" s="2" t="s">
        <v>17</v>
      </c>
    </row>
    <row r="89" spans="1:7">
      <c r="A89" s="2" t="s">
        <v>109</v>
      </c>
      <c r="B89" s="2" t="s">
        <v>8</v>
      </c>
      <c r="C89" s="2"/>
      <c r="D89" s="2" t="s">
        <v>10</v>
      </c>
      <c r="E89" s="2">
        <v>3</v>
      </c>
      <c r="F89" s="2"/>
      <c r="G89" s="2"/>
    </row>
    <row r="90" spans="1:7">
      <c r="A90" s="2" t="s">
        <v>77</v>
      </c>
      <c r="B90" s="2" t="s">
        <v>8</v>
      </c>
      <c r="C90" s="2" t="s">
        <v>16</v>
      </c>
      <c r="D90" s="2" t="s">
        <v>10</v>
      </c>
      <c r="E90" s="2">
        <v>4</v>
      </c>
      <c r="F90" s="2">
        <v>11086.19</v>
      </c>
      <c r="G90" s="2" t="s">
        <v>21</v>
      </c>
    </row>
    <row r="91" spans="1:7">
      <c r="A91" s="2" t="s">
        <v>56</v>
      </c>
      <c r="B91" s="2" t="s">
        <v>129</v>
      </c>
      <c r="C91" s="2" t="s">
        <v>36</v>
      </c>
      <c r="D91" s="2" t="s">
        <v>14</v>
      </c>
      <c r="E91" s="2">
        <v>3</v>
      </c>
      <c r="F91" s="2">
        <v>343709.26</v>
      </c>
      <c r="G91" s="2" t="s">
        <v>29</v>
      </c>
    </row>
    <row r="92" spans="1:7">
      <c r="A92" s="2" t="s">
        <v>30</v>
      </c>
      <c r="B92" s="2" t="s">
        <v>128</v>
      </c>
      <c r="C92" s="2" t="s">
        <v>31</v>
      </c>
      <c r="D92" s="2" t="s">
        <v>20</v>
      </c>
      <c r="E92" s="2">
        <v>4</v>
      </c>
      <c r="F92" s="2">
        <v>49205.08</v>
      </c>
      <c r="G92" s="2" t="s">
        <v>32</v>
      </c>
    </row>
    <row r="93" spans="1:7">
      <c r="A93" s="2" t="s">
        <v>83</v>
      </c>
      <c r="B93" s="2" t="s">
        <v>128</v>
      </c>
      <c r="C93" s="2" t="s">
        <v>13</v>
      </c>
      <c r="D93" s="2" t="s">
        <v>14</v>
      </c>
      <c r="E93" s="2">
        <v>4</v>
      </c>
      <c r="F93" s="2">
        <v>102358.45</v>
      </c>
      <c r="G93" s="2" t="s">
        <v>43</v>
      </c>
    </row>
    <row r="94" spans="1:7">
      <c r="A94" s="2" t="s">
        <v>83</v>
      </c>
      <c r="B94" s="2" t="s">
        <v>129</v>
      </c>
      <c r="C94" s="2" t="s">
        <v>19</v>
      </c>
      <c r="D94" s="2" t="s">
        <v>20</v>
      </c>
      <c r="E94" s="2">
        <v>3</v>
      </c>
      <c r="F94" s="2">
        <v>89308.63</v>
      </c>
      <c r="G94" s="2" t="s">
        <v>21</v>
      </c>
    </row>
    <row r="95" spans="1:7">
      <c r="A95" s="2" t="s">
        <v>22</v>
      </c>
      <c r="B95" s="2" t="s">
        <v>130</v>
      </c>
      <c r="C95" s="2" t="s">
        <v>19</v>
      </c>
      <c r="D95" s="2" t="s">
        <v>20</v>
      </c>
      <c r="E95" s="2">
        <v>5</v>
      </c>
      <c r="F95" s="2">
        <v>77011.75</v>
      </c>
      <c r="G95" s="2" t="s">
        <v>23</v>
      </c>
    </row>
    <row r="96" spans="1:7">
      <c r="A96" s="2" t="s">
        <v>22</v>
      </c>
      <c r="B96" s="2" t="s">
        <v>28</v>
      </c>
      <c r="C96" s="2" t="s">
        <v>26</v>
      </c>
      <c r="D96" s="2" t="s">
        <v>10</v>
      </c>
      <c r="E96" s="2">
        <v>3</v>
      </c>
      <c r="F96" s="2">
        <v>14627.54</v>
      </c>
      <c r="G96" s="2" t="s">
        <v>21</v>
      </c>
    </row>
    <row r="97" spans="1:7">
      <c r="A97" s="2" t="s">
        <v>22</v>
      </c>
      <c r="B97" s="2" t="s">
        <v>129</v>
      </c>
      <c r="C97" s="2" t="s">
        <v>13</v>
      </c>
      <c r="D97" s="2" t="s">
        <v>14</v>
      </c>
      <c r="E97" s="2">
        <v>9</v>
      </c>
      <c r="F97" s="2">
        <v>81867.19</v>
      </c>
      <c r="G97" s="2" t="s">
        <v>23</v>
      </c>
    </row>
    <row r="98" spans="1:7">
      <c r="A98" s="2" t="s">
        <v>22</v>
      </c>
      <c r="B98" s="2" t="s">
        <v>129</v>
      </c>
      <c r="C98" s="2" t="s">
        <v>26</v>
      </c>
      <c r="D98" s="2" t="s">
        <v>10</v>
      </c>
      <c r="E98" s="2">
        <v>-1</v>
      </c>
      <c r="F98" s="2">
        <v>15069.49</v>
      </c>
      <c r="G98" s="2" t="s">
        <v>21</v>
      </c>
    </row>
    <row r="99" spans="1:7">
      <c r="A99" s="2" t="s">
        <v>22</v>
      </c>
      <c r="B99" s="2" t="s">
        <v>40</v>
      </c>
      <c r="C99" s="2" t="s">
        <v>16</v>
      </c>
      <c r="D99" s="2" t="s">
        <v>10</v>
      </c>
      <c r="E99" s="2">
        <v>7</v>
      </c>
      <c r="F99" s="2">
        <v>11015.52</v>
      </c>
      <c r="G99" s="2" t="s">
        <v>11</v>
      </c>
    </row>
    <row r="100" spans="1:7">
      <c r="A100" s="2" t="s">
        <v>101</v>
      </c>
      <c r="B100" s="2" t="s">
        <v>40</v>
      </c>
      <c r="C100" s="2" t="s">
        <v>13</v>
      </c>
      <c r="D100" s="2" t="s">
        <v>14</v>
      </c>
      <c r="E100" s="2">
        <v>3</v>
      </c>
      <c r="F100" s="2">
        <v>88708.41</v>
      </c>
      <c r="G100" s="2" t="s">
        <v>11</v>
      </c>
    </row>
    <row r="101" spans="1:7">
      <c r="A101" s="2" t="s">
        <v>101</v>
      </c>
      <c r="B101" s="2" t="s">
        <v>28</v>
      </c>
      <c r="C101" s="2" t="s">
        <v>13</v>
      </c>
      <c r="D101" s="2" t="s">
        <v>14</v>
      </c>
      <c r="E101" s="2">
        <v>10</v>
      </c>
      <c r="F101" s="2">
        <v>105158.68</v>
      </c>
      <c r="G101" s="2" t="s">
        <v>23</v>
      </c>
    </row>
    <row r="102" spans="1:7">
      <c r="A102" s="2" t="s">
        <v>45</v>
      </c>
      <c r="B102" s="2" t="s">
        <v>40</v>
      </c>
      <c r="C102" s="2" t="s">
        <v>31</v>
      </c>
      <c r="D102" s="2" t="s">
        <v>20</v>
      </c>
      <c r="E102" s="2">
        <v>6</v>
      </c>
      <c r="F102" s="2"/>
      <c r="G102" s="2" t="s">
        <v>29</v>
      </c>
    </row>
    <row r="103" spans="1:7">
      <c r="A103" s="2" t="s">
        <v>45</v>
      </c>
      <c r="B103" s="2" t="s">
        <v>127</v>
      </c>
      <c r="C103" s="2" t="s">
        <v>13</v>
      </c>
      <c r="D103" s="2" t="s">
        <v>14</v>
      </c>
      <c r="E103" s="2">
        <v>2</v>
      </c>
      <c r="F103" s="2">
        <v>102325.79</v>
      </c>
      <c r="G103" s="2" t="s">
        <v>29</v>
      </c>
    </row>
    <row r="104" spans="1:7">
      <c r="A104" s="2" t="s">
        <v>73</v>
      </c>
      <c r="B104" s="2" t="s">
        <v>128</v>
      </c>
      <c r="C104" s="2" t="s">
        <v>31</v>
      </c>
      <c r="D104" s="2" t="s">
        <v>20</v>
      </c>
      <c r="E104" s="2">
        <v>10</v>
      </c>
      <c r="F104" s="2">
        <v>46682.23</v>
      </c>
      <c r="G104" s="2" t="s">
        <v>32</v>
      </c>
    </row>
    <row r="105" spans="1:7">
      <c r="A105" s="2" t="s">
        <v>73</v>
      </c>
      <c r="B105" s="2" t="s">
        <v>40</v>
      </c>
      <c r="C105" s="2" t="s">
        <v>31</v>
      </c>
      <c r="D105" s="2" t="s">
        <v>20</v>
      </c>
      <c r="E105" s="2">
        <v>3</v>
      </c>
      <c r="F105" s="2">
        <v>43273.57</v>
      </c>
      <c r="G105" s="2" t="s">
        <v>11</v>
      </c>
    </row>
    <row r="106" spans="1:7">
      <c r="A106" s="2" t="s">
        <v>73</v>
      </c>
      <c r="B106" s="2" t="s">
        <v>8</v>
      </c>
      <c r="C106" s="2" t="s">
        <v>9</v>
      </c>
      <c r="D106" s="2" t="s">
        <v>10</v>
      </c>
      <c r="E106" s="2">
        <v>5</v>
      </c>
      <c r="F106" s="2">
        <v>8544.4</v>
      </c>
      <c r="G106" s="2" t="s">
        <v>29</v>
      </c>
    </row>
    <row r="107" spans="1:7">
      <c r="A107" s="2" t="s">
        <v>73</v>
      </c>
      <c r="B107" s="2" t="s">
        <v>130</v>
      </c>
      <c r="C107" s="2" t="s">
        <v>16</v>
      </c>
      <c r="D107" s="2" t="s">
        <v>10</v>
      </c>
      <c r="E107" s="2">
        <v>1</v>
      </c>
      <c r="F107" s="2"/>
      <c r="G107" s="2" t="s">
        <v>11</v>
      </c>
    </row>
    <row r="108" spans="1:7">
      <c r="A108" s="2" t="s">
        <v>39</v>
      </c>
      <c r="B108" s="2" t="s">
        <v>40</v>
      </c>
      <c r="C108" s="2"/>
      <c r="D108" s="2" t="s">
        <v>10</v>
      </c>
      <c r="E108" s="2">
        <v>7</v>
      </c>
      <c r="F108" s="2">
        <v>11798.53</v>
      </c>
      <c r="G108" s="2" t="s">
        <v>11</v>
      </c>
    </row>
    <row r="109" spans="1:7">
      <c r="A109" s="2" t="s">
        <v>39</v>
      </c>
      <c r="B109" s="2" t="s">
        <v>28</v>
      </c>
      <c r="C109" s="2" t="s">
        <v>13</v>
      </c>
      <c r="D109" s="2" t="s">
        <v>14</v>
      </c>
      <c r="E109" s="2">
        <v>10</v>
      </c>
      <c r="F109" s="2"/>
      <c r="G109" s="2" t="s">
        <v>43</v>
      </c>
    </row>
    <row r="110" spans="1:7">
      <c r="A110" s="2" t="s">
        <v>39</v>
      </c>
      <c r="B110" s="2" t="s">
        <v>128</v>
      </c>
      <c r="C110" s="2" t="s">
        <v>19</v>
      </c>
      <c r="D110" s="2" t="s">
        <v>20</v>
      </c>
      <c r="E110" s="2">
        <v>7</v>
      </c>
      <c r="F110" s="2"/>
      <c r="G110" s="2" t="s">
        <v>32</v>
      </c>
    </row>
    <row r="111" spans="1:7">
      <c r="A111" s="2" t="s">
        <v>39</v>
      </c>
      <c r="B111" s="2" t="s">
        <v>130</v>
      </c>
      <c r="C111" s="2" t="s">
        <v>16</v>
      </c>
      <c r="D111" s="2" t="s">
        <v>10</v>
      </c>
      <c r="E111" s="2">
        <v>-2</v>
      </c>
      <c r="F111" s="2">
        <v>11530.56</v>
      </c>
      <c r="G111" s="2"/>
    </row>
    <row r="112" spans="1:7">
      <c r="A112" s="2" t="s">
        <v>15</v>
      </c>
      <c r="B112" s="2" t="s">
        <v>128</v>
      </c>
      <c r="C112" s="2" t="s">
        <v>16</v>
      </c>
      <c r="D112" s="2" t="s">
        <v>10</v>
      </c>
      <c r="E112" s="2">
        <v>4</v>
      </c>
      <c r="F112" s="2">
        <v>12451.69</v>
      </c>
      <c r="G112" s="2" t="s">
        <v>17</v>
      </c>
    </row>
    <row r="113" spans="1:7">
      <c r="A113" s="2" t="s">
        <v>15</v>
      </c>
      <c r="B113" s="2" t="s">
        <v>129</v>
      </c>
      <c r="C113" s="2" t="s">
        <v>26</v>
      </c>
      <c r="D113" s="2" t="s">
        <v>10</v>
      </c>
      <c r="E113" s="2">
        <v>-2</v>
      </c>
      <c r="F113" s="2">
        <v>14932.05</v>
      </c>
      <c r="G113" s="2" t="s">
        <v>11</v>
      </c>
    </row>
    <row r="114" spans="1:7">
      <c r="A114" s="2" t="s">
        <v>115</v>
      </c>
      <c r="B114" s="2" t="s">
        <v>128</v>
      </c>
      <c r="C114" s="2" t="s">
        <v>34</v>
      </c>
      <c r="D114" s="2" t="s">
        <v>14</v>
      </c>
      <c r="E114" s="2">
        <v>7</v>
      </c>
      <c r="F114" s="2">
        <v>206884.76</v>
      </c>
      <c r="G114" s="2"/>
    </row>
    <row r="115" spans="1:7">
      <c r="A115" s="2" t="s">
        <v>115</v>
      </c>
      <c r="B115" s="2" t="s">
        <v>28</v>
      </c>
      <c r="C115" s="2" t="s">
        <v>19</v>
      </c>
      <c r="D115" s="2" t="s">
        <v>20</v>
      </c>
      <c r="E115" s="2">
        <v>2</v>
      </c>
      <c r="F115" s="2"/>
      <c r="G115" s="2" t="s">
        <v>43</v>
      </c>
    </row>
    <row r="116" spans="1:7">
      <c r="A116" s="2" t="s">
        <v>74</v>
      </c>
      <c r="B116" s="2" t="s">
        <v>127</v>
      </c>
      <c r="C116" s="2" t="s">
        <v>19</v>
      </c>
      <c r="D116" s="2" t="s">
        <v>20</v>
      </c>
      <c r="E116" s="2">
        <v>6</v>
      </c>
      <c r="F116" s="2">
        <v>71697.23</v>
      </c>
      <c r="G116" s="2" t="s">
        <v>17</v>
      </c>
    </row>
    <row r="117" spans="1:7">
      <c r="A117" s="2" t="s">
        <v>107</v>
      </c>
      <c r="B117" s="2" t="s">
        <v>28</v>
      </c>
      <c r="C117" s="2" t="s">
        <v>9</v>
      </c>
      <c r="D117" s="2" t="s">
        <v>10</v>
      </c>
      <c r="E117" s="2">
        <v>3</v>
      </c>
      <c r="F117" s="2">
        <v>7783.4</v>
      </c>
      <c r="G117" s="2" t="s">
        <v>43</v>
      </c>
    </row>
    <row r="118" spans="1:7">
      <c r="A118" s="2" t="s">
        <v>107</v>
      </c>
      <c r="B118" s="2" t="s">
        <v>8</v>
      </c>
      <c r="C118" s="2"/>
      <c r="D118" s="2" t="s">
        <v>20</v>
      </c>
      <c r="E118" s="2">
        <v>-2</v>
      </c>
      <c r="F118" s="2">
        <v>40092.550000000003</v>
      </c>
      <c r="G118" s="2"/>
    </row>
    <row r="119" spans="1:7">
      <c r="A119" s="2" t="s">
        <v>50</v>
      </c>
      <c r="B119" s="2" t="s">
        <v>40</v>
      </c>
      <c r="C119" s="2" t="s">
        <v>31</v>
      </c>
      <c r="D119" s="2" t="s">
        <v>20</v>
      </c>
      <c r="E119" s="2">
        <v>10</v>
      </c>
      <c r="F119" s="2">
        <v>49490.85</v>
      </c>
      <c r="G119" s="2" t="s">
        <v>23</v>
      </c>
    </row>
    <row r="120" spans="1:7">
      <c r="A120" s="2" t="s">
        <v>47</v>
      </c>
      <c r="B120" s="2" t="s">
        <v>130</v>
      </c>
      <c r="C120" s="2"/>
      <c r="D120" s="2" t="s">
        <v>10</v>
      </c>
      <c r="E120" s="2">
        <v>5</v>
      </c>
      <c r="F120" s="2"/>
      <c r="G120" s="2" t="s">
        <v>29</v>
      </c>
    </row>
    <row r="121" spans="1:7">
      <c r="A121" s="2" t="s">
        <v>47</v>
      </c>
      <c r="B121" s="2" t="s">
        <v>128</v>
      </c>
      <c r="C121" s="2" t="s">
        <v>13</v>
      </c>
      <c r="D121" s="2" t="s">
        <v>14</v>
      </c>
      <c r="E121" s="2">
        <v>6</v>
      </c>
      <c r="F121" s="2">
        <v>105821.36</v>
      </c>
      <c r="G121" s="2" t="s">
        <v>17</v>
      </c>
    </row>
    <row r="122" spans="1:7">
      <c r="A122" s="2" t="s">
        <v>12</v>
      </c>
      <c r="B122" s="2" t="s">
        <v>127</v>
      </c>
      <c r="C122" s="2" t="s">
        <v>13</v>
      </c>
      <c r="D122" s="2" t="s">
        <v>14</v>
      </c>
      <c r="E122" s="2">
        <v>1</v>
      </c>
      <c r="F122" s="2">
        <v>108357.95</v>
      </c>
      <c r="G122" s="2"/>
    </row>
    <row r="123" spans="1:7">
      <c r="A123" s="2" t="s">
        <v>89</v>
      </c>
      <c r="B123" s="2" t="s">
        <v>129</v>
      </c>
      <c r="C123" s="2" t="s">
        <v>19</v>
      </c>
      <c r="D123" s="2" t="s">
        <v>20</v>
      </c>
      <c r="E123" s="2">
        <v>8</v>
      </c>
      <c r="F123" s="2"/>
      <c r="G123" s="2" t="s">
        <v>11</v>
      </c>
    </row>
    <row r="124" spans="1:7">
      <c r="A124" s="2" t="s">
        <v>75</v>
      </c>
      <c r="B124" s="2" t="s">
        <v>129</v>
      </c>
      <c r="C124" s="2" t="s">
        <v>34</v>
      </c>
      <c r="D124" s="2" t="s">
        <v>14</v>
      </c>
      <c r="E124" s="2">
        <v>5</v>
      </c>
      <c r="F124" s="2"/>
      <c r="G124" s="2" t="s">
        <v>32</v>
      </c>
    </row>
    <row r="125" spans="1:7">
      <c r="A125" s="2" t="s">
        <v>62</v>
      </c>
      <c r="B125" s="2" t="s">
        <v>8</v>
      </c>
      <c r="C125" s="2" t="s">
        <v>34</v>
      </c>
      <c r="D125" s="2" t="s">
        <v>14</v>
      </c>
      <c r="E125" s="2">
        <v>2</v>
      </c>
      <c r="F125" s="2">
        <v>181314.89</v>
      </c>
      <c r="G125" s="2" t="s">
        <v>21</v>
      </c>
    </row>
    <row r="126" spans="1:7">
      <c r="A126" s="2" t="s">
        <v>62</v>
      </c>
      <c r="B126" s="2" t="s">
        <v>130</v>
      </c>
      <c r="C126" s="2" t="s">
        <v>9</v>
      </c>
      <c r="D126" s="2" t="s">
        <v>10</v>
      </c>
      <c r="E126" s="2">
        <v>9</v>
      </c>
      <c r="F126" s="2">
        <v>8132.34</v>
      </c>
      <c r="G126" s="2" t="s">
        <v>21</v>
      </c>
    </row>
    <row r="127" spans="1:7">
      <c r="A127" s="2" t="s">
        <v>110</v>
      </c>
      <c r="B127" s="2" t="s">
        <v>129</v>
      </c>
      <c r="C127" s="2" t="s">
        <v>16</v>
      </c>
      <c r="D127" s="2" t="s">
        <v>10</v>
      </c>
      <c r="E127" s="2">
        <v>5</v>
      </c>
      <c r="F127" s="2">
        <v>11907.84</v>
      </c>
      <c r="G127" s="2"/>
    </row>
    <row r="128" spans="1:7">
      <c r="A128" s="2" t="s">
        <v>88</v>
      </c>
      <c r="B128" s="2" t="s">
        <v>131</v>
      </c>
      <c r="C128" s="2" t="s">
        <v>26</v>
      </c>
      <c r="D128" s="2" t="s">
        <v>10</v>
      </c>
      <c r="E128" s="2">
        <v>5</v>
      </c>
      <c r="F128" s="2"/>
      <c r="G128" s="2" t="s">
        <v>43</v>
      </c>
    </row>
    <row r="129" spans="1:7">
      <c r="A129" s="2" t="s">
        <v>104</v>
      </c>
      <c r="B129" s="2" t="s">
        <v>128</v>
      </c>
      <c r="C129" s="2" t="s">
        <v>13</v>
      </c>
      <c r="D129" s="2" t="s">
        <v>14</v>
      </c>
      <c r="E129" s="2">
        <v>2</v>
      </c>
      <c r="F129" s="2"/>
      <c r="G129" s="2" t="s">
        <v>21</v>
      </c>
    </row>
    <row r="130" spans="1:7">
      <c r="A130" s="2" t="s">
        <v>104</v>
      </c>
      <c r="B130" s="2" t="s">
        <v>129</v>
      </c>
      <c r="C130" s="2" t="s">
        <v>27</v>
      </c>
      <c r="D130" s="2" t="s">
        <v>14</v>
      </c>
      <c r="E130" s="2">
        <v>10</v>
      </c>
      <c r="F130" s="2"/>
      <c r="G130" s="2" t="s">
        <v>29</v>
      </c>
    </row>
    <row r="131" spans="1:7">
      <c r="A131" s="2" t="s">
        <v>42</v>
      </c>
      <c r="B131" s="2" t="s">
        <v>127</v>
      </c>
      <c r="C131" s="2" t="s">
        <v>31</v>
      </c>
      <c r="D131" s="2" t="s">
        <v>20</v>
      </c>
      <c r="E131" s="2">
        <v>7</v>
      </c>
      <c r="F131" s="2">
        <v>43599.72</v>
      </c>
      <c r="G131" s="2" t="s">
        <v>43</v>
      </c>
    </row>
    <row r="132" spans="1:7">
      <c r="A132" s="2" t="s">
        <v>42</v>
      </c>
      <c r="B132" s="2" t="s">
        <v>130</v>
      </c>
      <c r="C132" s="2" t="s">
        <v>31</v>
      </c>
      <c r="D132" s="2" t="s">
        <v>20</v>
      </c>
      <c r="E132" s="2">
        <v>2</v>
      </c>
      <c r="F132" s="2"/>
      <c r="G132" s="2" t="s">
        <v>23</v>
      </c>
    </row>
    <row r="133" spans="1:7">
      <c r="A133" s="2" t="s">
        <v>76</v>
      </c>
      <c r="B133" s="2" t="s">
        <v>127</v>
      </c>
      <c r="C133" s="2" t="s">
        <v>26</v>
      </c>
      <c r="D133" s="2" t="s">
        <v>10</v>
      </c>
      <c r="E133" s="2">
        <v>2</v>
      </c>
      <c r="F133" s="2"/>
      <c r="G133" s="2" t="s">
        <v>32</v>
      </c>
    </row>
    <row r="134" spans="1:7">
      <c r="A134" s="2" t="s">
        <v>76</v>
      </c>
      <c r="B134" s="2" t="s">
        <v>28</v>
      </c>
      <c r="C134" s="2" t="s">
        <v>34</v>
      </c>
      <c r="D134" s="2" t="s">
        <v>14</v>
      </c>
      <c r="E134" s="2">
        <v>6</v>
      </c>
      <c r="F134" s="2">
        <v>174757.36</v>
      </c>
      <c r="G134" s="2" t="s">
        <v>32</v>
      </c>
    </row>
    <row r="135" spans="1:7">
      <c r="A135" s="2" t="s">
        <v>65</v>
      </c>
      <c r="B135" s="2" t="s">
        <v>40</v>
      </c>
      <c r="C135" s="2" t="s">
        <v>16</v>
      </c>
      <c r="D135" s="2" t="s">
        <v>10</v>
      </c>
      <c r="E135" s="2">
        <v>8</v>
      </c>
      <c r="F135" s="2"/>
      <c r="G135" s="2" t="s">
        <v>43</v>
      </c>
    </row>
    <row r="136" spans="1:7">
      <c r="A136" s="2" t="s">
        <v>78</v>
      </c>
      <c r="B136" s="2" t="s">
        <v>128</v>
      </c>
      <c r="C136" s="2" t="s">
        <v>13</v>
      </c>
      <c r="D136" s="2" t="s">
        <v>14</v>
      </c>
      <c r="E136" s="2">
        <v>7</v>
      </c>
      <c r="F136" s="2">
        <v>95535.15</v>
      </c>
      <c r="G136" s="2" t="s">
        <v>43</v>
      </c>
    </row>
    <row r="137" spans="1:7">
      <c r="A137" s="2" t="s">
        <v>78</v>
      </c>
      <c r="B137" s="2" t="s">
        <v>130</v>
      </c>
      <c r="C137" s="2" t="s">
        <v>13</v>
      </c>
      <c r="D137" s="2" t="s">
        <v>14</v>
      </c>
      <c r="E137" s="2">
        <v>6</v>
      </c>
      <c r="F137" s="2"/>
      <c r="G137" s="2" t="s">
        <v>23</v>
      </c>
    </row>
    <row r="138" spans="1:7">
      <c r="A138" s="2" t="s">
        <v>82</v>
      </c>
      <c r="B138" s="2" t="s">
        <v>127</v>
      </c>
      <c r="C138" s="2" t="s">
        <v>13</v>
      </c>
      <c r="D138" s="2" t="s">
        <v>14</v>
      </c>
      <c r="E138" s="2">
        <v>7</v>
      </c>
      <c r="F138" s="2">
        <v>100398.88</v>
      </c>
      <c r="G138" s="2"/>
    </row>
    <row r="139" spans="1:7">
      <c r="A139" s="2" t="s">
        <v>58</v>
      </c>
      <c r="B139" s="2" t="s">
        <v>131</v>
      </c>
      <c r="C139" s="2" t="s">
        <v>13</v>
      </c>
      <c r="D139" s="2" t="s">
        <v>14</v>
      </c>
      <c r="E139" s="2">
        <v>4</v>
      </c>
      <c r="F139" s="2">
        <v>100868.26</v>
      </c>
      <c r="G139" s="2" t="s">
        <v>43</v>
      </c>
    </row>
    <row r="140" spans="1:7">
      <c r="A140" s="2" t="s">
        <v>119</v>
      </c>
      <c r="B140" s="2" t="s">
        <v>130</v>
      </c>
      <c r="C140" s="2" t="s">
        <v>31</v>
      </c>
      <c r="D140" s="2" t="s">
        <v>20</v>
      </c>
      <c r="E140" s="2">
        <v>3</v>
      </c>
      <c r="F140" s="2"/>
      <c r="G140" s="2" t="s">
        <v>23</v>
      </c>
    </row>
    <row r="141" spans="1:7">
      <c r="A141" s="2" t="s">
        <v>46</v>
      </c>
      <c r="B141" s="2" t="s">
        <v>129</v>
      </c>
      <c r="C141" s="2" t="s">
        <v>9</v>
      </c>
      <c r="D141" s="2" t="s">
        <v>10</v>
      </c>
      <c r="E141" s="2">
        <v>1</v>
      </c>
      <c r="F141" s="2">
        <v>7032.07</v>
      </c>
      <c r="G141" s="2" t="s">
        <v>23</v>
      </c>
    </row>
    <row r="142" spans="1:7">
      <c r="A142" s="2" t="s">
        <v>103</v>
      </c>
      <c r="B142" s="2" t="s">
        <v>130</v>
      </c>
      <c r="C142" s="2" t="s">
        <v>31</v>
      </c>
      <c r="D142" s="2" t="s">
        <v>20</v>
      </c>
      <c r="E142" s="2">
        <v>2</v>
      </c>
      <c r="F142" s="2">
        <v>41152.379999999997</v>
      </c>
      <c r="G142" s="2" t="s">
        <v>29</v>
      </c>
    </row>
    <row r="143" spans="1:7">
      <c r="A143" s="2" t="s">
        <v>93</v>
      </c>
      <c r="B143" s="2" t="s">
        <v>127</v>
      </c>
      <c r="C143" s="2" t="s">
        <v>9</v>
      </c>
      <c r="D143" s="2" t="s">
        <v>10</v>
      </c>
      <c r="E143" s="2">
        <v>5</v>
      </c>
      <c r="F143" s="2">
        <v>9141.57</v>
      </c>
      <c r="G143" s="2" t="s">
        <v>32</v>
      </c>
    </row>
    <row r="144" spans="1:7">
      <c r="A144" s="2" t="s">
        <v>81</v>
      </c>
      <c r="B144" s="2" t="s">
        <v>40</v>
      </c>
      <c r="C144" s="2" t="s">
        <v>31</v>
      </c>
      <c r="D144" s="2" t="s">
        <v>20</v>
      </c>
      <c r="E144" s="2">
        <v>4</v>
      </c>
      <c r="F144" s="2">
        <v>38949.17</v>
      </c>
      <c r="G144" s="2" t="s">
        <v>11</v>
      </c>
    </row>
    <row r="145" spans="1:7">
      <c r="A145" s="2" t="s">
        <v>81</v>
      </c>
      <c r="B145" s="2" t="s">
        <v>128</v>
      </c>
      <c r="C145" s="2" t="s">
        <v>19</v>
      </c>
      <c r="D145" s="2" t="s">
        <v>20</v>
      </c>
      <c r="E145" s="2">
        <v>3</v>
      </c>
      <c r="F145" s="2"/>
      <c r="G145" s="2" t="s">
        <v>23</v>
      </c>
    </row>
    <row r="146" spans="1:7">
      <c r="A146" s="2" t="s">
        <v>85</v>
      </c>
      <c r="B146" s="2" t="s">
        <v>128</v>
      </c>
      <c r="C146" s="2" t="s">
        <v>19</v>
      </c>
      <c r="D146" s="2" t="s">
        <v>20</v>
      </c>
      <c r="E146" s="2">
        <v>10</v>
      </c>
      <c r="F146" s="2">
        <v>90314.29</v>
      </c>
      <c r="G146" s="2"/>
    </row>
    <row r="147" spans="1:7">
      <c r="A147" s="2" t="s">
        <v>54</v>
      </c>
      <c r="B147" s="2" t="s">
        <v>129</v>
      </c>
      <c r="C147" s="2" t="s">
        <v>19</v>
      </c>
      <c r="D147" s="2" t="s">
        <v>20</v>
      </c>
      <c r="E147" s="2">
        <v>3</v>
      </c>
      <c r="F147" s="2">
        <v>74388.37</v>
      </c>
      <c r="G147" s="2" t="s">
        <v>11</v>
      </c>
    </row>
    <row r="148" spans="1:7">
      <c r="A148" s="2" t="s">
        <v>54</v>
      </c>
      <c r="B148" s="2" t="s">
        <v>127</v>
      </c>
      <c r="C148" s="2" t="s">
        <v>9</v>
      </c>
      <c r="D148" s="2" t="s">
        <v>10</v>
      </c>
      <c r="E148" s="2">
        <v>3</v>
      </c>
      <c r="F148" s="2">
        <v>8730.06</v>
      </c>
      <c r="G148" s="2" t="s">
        <v>43</v>
      </c>
    </row>
    <row r="149" spans="1:7">
      <c r="A149" s="2" t="s">
        <v>113</v>
      </c>
      <c r="B149" s="2" t="s">
        <v>129</v>
      </c>
      <c r="C149" s="2" t="s">
        <v>34</v>
      </c>
      <c r="D149" s="2" t="s">
        <v>14</v>
      </c>
      <c r="E149" s="2">
        <v>7</v>
      </c>
      <c r="F149" s="2">
        <v>160385.10999999999</v>
      </c>
      <c r="G149" s="2" t="s">
        <v>11</v>
      </c>
    </row>
    <row r="150" spans="1:7">
      <c r="A150" s="2" t="s">
        <v>61</v>
      </c>
      <c r="B150" s="2" t="s">
        <v>127</v>
      </c>
      <c r="C150" s="2" t="s">
        <v>16</v>
      </c>
      <c r="D150" s="2" t="s">
        <v>10</v>
      </c>
      <c r="E150" s="2">
        <v>4</v>
      </c>
      <c r="F150" s="2">
        <v>13391.8</v>
      </c>
      <c r="G150" s="2"/>
    </row>
    <row r="151" spans="1:7">
      <c r="A151" s="2" t="s">
        <v>61</v>
      </c>
      <c r="B151" s="2" t="s">
        <v>127</v>
      </c>
      <c r="C151" s="2" t="s">
        <v>16</v>
      </c>
      <c r="D151" s="2" t="s">
        <v>10</v>
      </c>
      <c r="E151" s="2">
        <v>4</v>
      </c>
      <c r="F151" s="2">
        <v>11515.53</v>
      </c>
      <c r="G151" s="2" t="s">
        <v>23</v>
      </c>
    </row>
    <row r="152" spans="1:7">
      <c r="A152" s="2" t="s">
        <v>25</v>
      </c>
      <c r="B152" s="2" t="s">
        <v>8</v>
      </c>
      <c r="C152" s="2" t="s">
        <v>26</v>
      </c>
      <c r="D152" s="2" t="s">
        <v>10</v>
      </c>
      <c r="E152" s="2">
        <v>8</v>
      </c>
      <c r="F152" s="2">
        <v>15570.79</v>
      </c>
      <c r="G152" s="2" t="s">
        <v>23</v>
      </c>
    </row>
    <row r="153" spans="1:7">
      <c r="A153" s="2" t="s">
        <v>25</v>
      </c>
      <c r="B153" s="2" t="s">
        <v>127</v>
      </c>
      <c r="C153" s="2" t="s">
        <v>34</v>
      </c>
      <c r="D153" s="2" t="s">
        <v>14</v>
      </c>
      <c r="E153" s="2">
        <v>7</v>
      </c>
      <c r="F153" s="2">
        <v>157056.35</v>
      </c>
      <c r="G153" s="2" t="s">
        <v>43</v>
      </c>
    </row>
    <row r="154" spans="1:7">
      <c r="A154" s="2" t="s">
        <v>69</v>
      </c>
      <c r="B154" s="2" t="s">
        <v>8</v>
      </c>
      <c r="C154" s="2" t="s">
        <v>13</v>
      </c>
      <c r="D154" s="2" t="s">
        <v>14</v>
      </c>
      <c r="E154" s="2">
        <v>2</v>
      </c>
      <c r="F154" s="2"/>
      <c r="G154" s="2" t="s">
        <v>17</v>
      </c>
    </row>
    <row r="155" spans="1:7">
      <c r="A155" s="2" t="s">
        <v>86</v>
      </c>
      <c r="B155" s="2" t="s">
        <v>128</v>
      </c>
      <c r="C155" s="2" t="s">
        <v>16</v>
      </c>
      <c r="D155" s="2" t="s">
        <v>10</v>
      </c>
      <c r="E155" s="2">
        <v>10</v>
      </c>
      <c r="F155" s="2">
        <v>10339.57</v>
      </c>
      <c r="G155" s="2"/>
    </row>
    <row r="156" spans="1:7">
      <c r="A156" s="2" t="s">
        <v>86</v>
      </c>
      <c r="B156" s="2" t="s">
        <v>130</v>
      </c>
      <c r="C156" s="2" t="s">
        <v>9</v>
      </c>
      <c r="D156" s="2" t="s">
        <v>10</v>
      </c>
      <c r="E156" s="2">
        <v>3</v>
      </c>
      <c r="F156" s="2">
        <v>8277.18</v>
      </c>
      <c r="G156" s="2" t="s">
        <v>23</v>
      </c>
    </row>
    <row r="157" spans="1:7">
      <c r="A157" s="2" t="s">
        <v>60</v>
      </c>
      <c r="B157" s="2" t="s">
        <v>8</v>
      </c>
      <c r="C157" s="2" t="s">
        <v>36</v>
      </c>
      <c r="D157" s="2" t="s">
        <v>14</v>
      </c>
      <c r="E157" s="2">
        <v>9</v>
      </c>
      <c r="F157" s="2">
        <v>389512.03</v>
      </c>
      <c r="G157" s="2" t="s">
        <v>17</v>
      </c>
    </row>
    <row r="158" spans="1:7">
      <c r="A158" s="2" t="s">
        <v>60</v>
      </c>
      <c r="B158" s="2" t="s">
        <v>129</v>
      </c>
      <c r="C158" s="2" t="s">
        <v>36</v>
      </c>
      <c r="D158" s="2" t="s">
        <v>14</v>
      </c>
      <c r="E158" s="2">
        <v>4</v>
      </c>
      <c r="F158" s="2">
        <v>400060.02</v>
      </c>
      <c r="G158" s="2"/>
    </row>
    <row r="159" spans="1:7">
      <c r="A159" s="2" t="s">
        <v>99</v>
      </c>
      <c r="B159" s="2" t="s">
        <v>130</v>
      </c>
      <c r="C159" s="2" t="s">
        <v>31</v>
      </c>
      <c r="D159" s="2" t="s">
        <v>20</v>
      </c>
      <c r="E159" s="2">
        <v>5</v>
      </c>
      <c r="F159" s="2">
        <v>50555.8</v>
      </c>
      <c r="G159" s="2"/>
    </row>
    <row r="160" spans="1:7">
      <c r="A160" s="2" t="s">
        <v>99</v>
      </c>
      <c r="B160" s="2" t="s">
        <v>131</v>
      </c>
      <c r="C160" s="2" t="s">
        <v>26</v>
      </c>
      <c r="D160" s="2" t="s">
        <v>10</v>
      </c>
      <c r="E160" s="2">
        <v>1</v>
      </c>
      <c r="F160" s="2"/>
      <c r="G160" s="2" t="s">
        <v>11</v>
      </c>
    </row>
    <row r="161" spans="1:7">
      <c r="A161" s="2" t="s">
        <v>123</v>
      </c>
      <c r="B161" s="2" t="s">
        <v>131</v>
      </c>
      <c r="C161" s="2" t="s">
        <v>26</v>
      </c>
      <c r="D161" s="2" t="s">
        <v>10</v>
      </c>
      <c r="E161" s="2">
        <v>8</v>
      </c>
      <c r="F161" s="2">
        <v>16457.84</v>
      </c>
      <c r="G161" s="2"/>
    </row>
    <row r="162" spans="1:7">
      <c r="A162" s="2" t="s">
        <v>120</v>
      </c>
      <c r="B162" s="2" t="s">
        <v>129</v>
      </c>
      <c r="C162" s="2" t="s">
        <v>34</v>
      </c>
      <c r="D162" s="2" t="s">
        <v>14</v>
      </c>
      <c r="E162" s="2">
        <v>7</v>
      </c>
      <c r="F162" s="2">
        <v>191512.58</v>
      </c>
      <c r="G162" s="2" t="s">
        <v>11</v>
      </c>
    </row>
    <row r="163" spans="1:7">
      <c r="A163" s="2" t="s">
        <v>126</v>
      </c>
      <c r="B163" s="2" t="s">
        <v>130</v>
      </c>
      <c r="C163" s="2" t="s">
        <v>27</v>
      </c>
      <c r="D163" s="2" t="s">
        <v>10</v>
      </c>
      <c r="E163" s="2">
        <v>8</v>
      </c>
      <c r="F163" s="2">
        <v>11122.12</v>
      </c>
      <c r="G163" s="2" t="s">
        <v>21</v>
      </c>
    </row>
    <row r="164" spans="1:7">
      <c r="A164" s="2" t="s">
        <v>27</v>
      </c>
      <c r="B164" s="2" t="s">
        <v>28</v>
      </c>
      <c r="C164" s="2" t="s">
        <v>16</v>
      </c>
      <c r="D164" s="2" t="s">
        <v>10</v>
      </c>
      <c r="E164" s="2">
        <v>1</v>
      </c>
      <c r="F164" s="2">
        <v>11947.97</v>
      </c>
      <c r="G164" s="2" t="s">
        <v>29</v>
      </c>
    </row>
    <row r="165" spans="1:7">
      <c r="A165" s="2" t="s">
        <v>27</v>
      </c>
      <c r="B165" s="2" t="s">
        <v>8</v>
      </c>
      <c r="C165" s="2" t="s">
        <v>31</v>
      </c>
      <c r="D165" s="2" t="s">
        <v>20</v>
      </c>
      <c r="E165" s="2">
        <v>2</v>
      </c>
      <c r="F165" s="2">
        <v>39039.25</v>
      </c>
      <c r="G165" s="2"/>
    </row>
    <row r="166" spans="1:7">
      <c r="A166" s="2" t="s">
        <v>27</v>
      </c>
      <c r="B166" s="2" t="s">
        <v>129</v>
      </c>
      <c r="C166" s="2" t="s">
        <v>26</v>
      </c>
      <c r="D166" s="2" t="s">
        <v>10</v>
      </c>
      <c r="E166" s="2">
        <v>2</v>
      </c>
      <c r="F166" s="2">
        <v>15076.76</v>
      </c>
      <c r="G166" s="2" t="s">
        <v>17</v>
      </c>
    </row>
    <row r="167" spans="1:7">
      <c r="A167" s="2" t="s">
        <v>27</v>
      </c>
      <c r="B167" s="2" t="s">
        <v>128</v>
      </c>
      <c r="C167" s="2" t="s">
        <v>16</v>
      </c>
      <c r="D167" s="2" t="s">
        <v>10</v>
      </c>
      <c r="E167" s="2">
        <v>8</v>
      </c>
      <c r="F167" s="2">
        <v>10406.06</v>
      </c>
      <c r="G167" s="2" t="s">
        <v>17</v>
      </c>
    </row>
    <row r="168" spans="1:7">
      <c r="A168" s="2" t="s">
        <v>27</v>
      </c>
      <c r="B168" s="2" t="s">
        <v>40</v>
      </c>
      <c r="C168" s="2" t="s">
        <v>26</v>
      </c>
      <c r="D168" s="2" t="s">
        <v>10</v>
      </c>
      <c r="E168" s="2">
        <v>9</v>
      </c>
      <c r="F168" s="2">
        <v>14251.31</v>
      </c>
      <c r="G168" s="2" t="s">
        <v>29</v>
      </c>
    </row>
    <row r="169" spans="1:7">
      <c r="A169" s="2" t="s">
        <v>27</v>
      </c>
      <c r="B169" s="2" t="s">
        <v>127</v>
      </c>
      <c r="C169" s="2" t="s">
        <v>9</v>
      </c>
      <c r="D169" s="2" t="s">
        <v>10</v>
      </c>
      <c r="E169" s="2">
        <v>5</v>
      </c>
      <c r="F169" s="2">
        <v>7279.27</v>
      </c>
      <c r="G169" s="2" t="s">
        <v>43</v>
      </c>
    </row>
    <row r="170" spans="1:7">
      <c r="A170" s="2" t="s">
        <v>27</v>
      </c>
      <c r="B170" s="2" t="s">
        <v>127</v>
      </c>
      <c r="C170" s="2" t="s">
        <v>36</v>
      </c>
      <c r="D170" s="2" t="s">
        <v>14</v>
      </c>
      <c r="E170" s="2">
        <v>1</v>
      </c>
      <c r="F170" s="2">
        <v>357955</v>
      </c>
      <c r="G170" s="2" t="s">
        <v>23</v>
      </c>
    </row>
    <row r="171" spans="1:7">
      <c r="A171" s="2" t="s">
        <v>27</v>
      </c>
      <c r="B171" s="2" t="s">
        <v>131</v>
      </c>
      <c r="C171" s="2" t="s">
        <v>26</v>
      </c>
      <c r="D171" s="2" t="s">
        <v>10</v>
      </c>
      <c r="E171" s="2">
        <v>8</v>
      </c>
      <c r="F171" s="2">
        <v>14002.03</v>
      </c>
      <c r="G171" s="2" t="s">
        <v>11</v>
      </c>
    </row>
    <row r="172" spans="1:7">
      <c r="A172" s="2" t="s">
        <v>27</v>
      </c>
      <c r="B172" s="2" t="s">
        <v>8</v>
      </c>
      <c r="C172" s="2" t="s">
        <v>27</v>
      </c>
      <c r="D172" s="2" t="s">
        <v>10</v>
      </c>
      <c r="E172" s="2">
        <v>10</v>
      </c>
      <c r="F172" s="2">
        <v>7374.96</v>
      </c>
      <c r="G172" s="2" t="s">
        <v>29</v>
      </c>
    </row>
    <row r="173" spans="1:7">
      <c r="A173" s="2" t="s">
        <v>27</v>
      </c>
      <c r="B173" s="2" t="s">
        <v>129</v>
      </c>
      <c r="C173" s="2" t="s">
        <v>13</v>
      </c>
      <c r="D173" s="2" t="s">
        <v>14</v>
      </c>
      <c r="E173" s="2">
        <v>5</v>
      </c>
      <c r="F173" s="2">
        <v>93671.11</v>
      </c>
      <c r="G173" s="2"/>
    </row>
    <row r="174" spans="1:7">
      <c r="A174" s="2" t="s">
        <v>27</v>
      </c>
      <c r="B174" s="2" t="s">
        <v>129</v>
      </c>
      <c r="C174" s="2" t="s">
        <v>36</v>
      </c>
      <c r="D174" s="2" t="s">
        <v>14</v>
      </c>
      <c r="E174" s="2">
        <v>0</v>
      </c>
      <c r="F174" s="2">
        <v>308409.15000000002</v>
      </c>
      <c r="G174" s="2" t="s">
        <v>43</v>
      </c>
    </row>
    <row r="175" spans="1:7">
      <c r="A175" s="2" t="s">
        <v>27</v>
      </c>
      <c r="B175" s="2" t="s">
        <v>28</v>
      </c>
      <c r="C175" s="2" t="s">
        <v>27</v>
      </c>
      <c r="D175" s="2" t="s">
        <v>14</v>
      </c>
      <c r="E175" s="2">
        <v>4</v>
      </c>
      <c r="F175" s="2"/>
      <c r="G175" s="2" t="s">
        <v>43</v>
      </c>
    </row>
    <row r="176" spans="1:7">
      <c r="A176" s="2" t="s">
        <v>27</v>
      </c>
      <c r="B176" s="2" t="s">
        <v>128</v>
      </c>
      <c r="C176" s="2" t="s">
        <v>9</v>
      </c>
      <c r="D176" s="2" t="s">
        <v>10</v>
      </c>
      <c r="E176" s="2">
        <v>4</v>
      </c>
      <c r="F176" s="2"/>
      <c r="G176" s="2" t="s">
        <v>23</v>
      </c>
    </row>
    <row r="177" spans="1:7">
      <c r="A177" s="2" t="s">
        <v>27</v>
      </c>
      <c r="B177" s="2" t="s">
        <v>129</v>
      </c>
      <c r="C177" s="2" t="s">
        <v>26</v>
      </c>
      <c r="D177" s="2" t="s">
        <v>10</v>
      </c>
      <c r="E177" s="2">
        <v>5</v>
      </c>
      <c r="F177" s="2">
        <v>14746.09</v>
      </c>
      <c r="G177" s="2" t="s">
        <v>32</v>
      </c>
    </row>
    <row r="178" spans="1:7">
      <c r="A178" s="2" t="s">
        <v>27</v>
      </c>
      <c r="B178" s="2" t="s">
        <v>40</v>
      </c>
      <c r="C178" s="2" t="s">
        <v>36</v>
      </c>
      <c r="D178" s="2" t="s">
        <v>14</v>
      </c>
      <c r="E178" s="2">
        <v>2</v>
      </c>
      <c r="F178" s="2"/>
      <c r="G178" s="2" t="s">
        <v>29</v>
      </c>
    </row>
    <row r="179" spans="1:7">
      <c r="A179" s="2" t="s">
        <v>27</v>
      </c>
      <c r="B179" s="2" t="s">
        <v>130</v>
      </c>
      <c r="C179" s="2" t="s">
        <v>19</v>
      </c>
      <c r="D179" s="2" t="s">
        <v>20</v>
      </c>
      <c r="E179" s="2">
        <v>1</v>
      </c>
      <c r="F179" s="2">
        <v>68379.14</v>
      </c>
      <c r="G179" s="2" t="s">
        <v>43</v>
      </c>
    </row>
    <row r="180" spans="1:7">
      <c r="A180" s="2" t="s">
        <v>27</v>
      </c>
      <c r="B180" s="2" t="s">
        <v>8</v>
      </c>
      <c r="C180" s="2" t="s">
        <v>31</v>
      </c>
      <c r="D180" s="2" t="s">
        <v>20</v>
      </c>
      <c r="E180" s="2">
        <v>9</v>
      </c>
      <c r="F180" s="2">
        <v>48615.06</v>
      </c>
      <c r="G180" s="2" t="s">
        <v>29</v>
      </c>
    </row>
    <row r="181" spans="1:7">
      <c r="A181" s="2" t="s">
        <v>27</v>
      </c>
      <c r="B181" s="2" t="s">
        <v>127</v>
      </c>
      <c r="C181" s="2" t="s">
        <v>9</v>
      </c>
      <c r="D181" s="2" t="s">
        <v>10</v>
      </c>
      <c r="E181" s="2">
        <v>1</v>
      </c>
      <c r="F181" s="2">
        <v>8182.45</v>
      </c>
      <c r="G181" s="2" t="s">
        <v>11</v>
      </c>
    </row>
    <row r="182" spans="1:7">
      <c r="A182" s="2" t="s">
        <v>27</v>
      </c>
      <c r="B182" s="2" t="s">
        <v>129</v>
      </c>
      <c r="C182" s="2" t="s">
        <v>16</v>
      </c>
      <c r="D182" s="2" t="s">
        <v>10</v>
      </c>
      <c r="E182" s="2">
        <v>9</v>
      </c>
      <c r="F182" s="2"/>
      <c r="G182" s="2" t="s">
        <v>11</v>
      </c>
    </row>
    <row r="183" spans="1:7">
      <c r="A183" s="2" t="s">
        <v>27</v>
      </c>
      <c r="B183" s="2" t="s">
        <v>130</v>
      </c>
      <c r="C183" s="2" t="s">
        <v>27</v>
      </c>
      <c r="D183" s="2" t="s">
        <v>14</v>
      </c>
      <c r="E183" s="2">
        <v>10</v>
      </c>
      <c r="F183" s="2">
        <v>174464.25</v>
      </c>
      <c r="G183" s="2" t="s">
        <v>23</v>
      </c>
    </row>
    <row r="184" spans="1:7">
      <c r="A184" s="2" t="s">
        <v>27</v>
      </c>
      <c r="B184" s="2" t="s">
        <v>40</v>
      </c>
      <c r="C184" s="2" t="s">
        <v>36</v>
      </c>
      <c r="D184" s="2" t="s">
        <v>14</v>
      </c>
      <c r="E184" s="2">
        <v>7</v>
      </c>
      <c r="F184" s="2">
        <v>368064.54</v>
      </c>
      <c r="G184" s="2" t="s">
        <v>11</v>
      </c>
    </row>
    <row r="185" spans="1:7">
      <c r="A185" s="2" t="s">
        <v>27</v>
      </c>
      <c r="B185" s="2" t="s">
        <v>28</v>
      </c>
      <c r="C185" s="2" t="s">
        <v>31</v>
      </c>
      <c r="D185" s="2" t="s">
        <v>20</v>
      </c>
      <c r="E185" s="2">
        <v>4</v>
      </c>
      <c r="F185" s="2">
        <v>42276.15</v>
      </c>
      <c r="G185" s="2" t="s">
        <v>17</v>
      </c>
    </row>
    <row r="186" spans="1:7">
      <c r="A186" s="2" t="s">
        <v>27</v>
      </c>
      <c r="B186" s="2" t="s">
        <v>28</v>
      </c>
      <c r="C186" s="2" t="s">
        <v>36</v>
      </c>
      <c r="D186" s="2" t="s">
        <v>14</v>
      </c>
      <c r="E186" s="2">
        <v>5</v>
      </c>
      <c r="F186" s="2">
        <v>313046.23</v>
      </c>
      <c r="G186" s="2" t="s">
        <v>32</v>
      </c>
    </row>
    <row r="187" spans="1:7">
      <c r="A187" s="2" t="s">
        <v>27</v>
      </c>
      <c r="B187" s="2" t="s">
        <v>40</v>
      </c>
      <c r="C187" s="2" t="s">
        <v>26</v>
      </c>
      <c r="D187" s="2" t="s">
        <v>10</v>
      </c>
      <c r="E187" s="2">
        <v>10</v>
      </c>
      <c r="F187" s="2">
        <v>15333.05</v>
      </c>
      <c r="G187" s="2" t="s">
        <v>32</v>
      </c>
    </row>
    <row r="188" spans="1:7">
      <c r="A188" s="2" t="s">
        <v>27</v>
      </c>
      <c r="B188" s="2" t="s">
        <v>129</v>
      </c>
      <c r="C188" s="2" t="s">
        <v>31</v>
      </c>
      <c r="D188" s="2" t="s">
        <v>20</v>
      </c>
      <c r="E188" s="2">
        <v>5</v>
      </c>
      <c r="F188" s="2">
        <v>45084.14</v>
      </c>
      <c r="G188" s="2" t="s">
        <v>32</v>
      </c>
    </row>
    <row r="189" spans="1:7">
      <c r="A189" s="2" t="s">
        <v>27</v>
      </c>
      <c r="B189" s="2" t="s">
        <v>131</v>
      </c>
      <c r="C189" s="2" t="s">
        <v>26</v>
      </c>
      <c r="D189" s="2" t="s">
        <v>10</v>
      </c>
      <c r="E189" s="2">
        <v>10</v>
      </c>
      <c r="F189" s="2">
        <v>16675.310000000001</v>
      </c>
      <c r="G189" s="2" t="s">
        <v>32</v>
      </c>
    </row>
    <row r="190" spans="1:7">
      <c r="A190" s="2" t="s">
        <v>27</v>
      </c>
      <c r="B190" s="2" t="s">
        <v>8</v>
      </c>
      <c r="C190" s="2" t="s">
        <v>9</v>
      </c>
      <c r="D190" s="2" t="s">
        <v>10</v>
      </c>
      <c r="E190" s="2">
        <v>3</v>
      </c>
      <c r="F190" s="2"/>
      <c r="G190" s="2" t="s">
        <v>23</v>
      </c>
    </row>
    <row r="191" spans="1:7">
      <c r="A191" s="2" t="s">
        <v>27</v>
      </c>
      <c r="B191" s="2" t="s">
        <v>127</v>
      </c>
      <c r="C191" s="2" t="s">
        <v>16</v>
      </c>
      <c r="D191" s="2" t="s">
        <v>10</v>
      </c>
      <c r="E191" s="2">
        <v>10</v>
      </c>
      <c r="F191" s="2">
        <v>12990.1</v>
      </c>
      <c r="G191" s="2" t="s">
        <v>32</v>
      </c>
    </row>
    <row r="192" spans="1:7">
      <c r="A192" s="2" t="s">
        <v>27</v>
      </c>
      <c r="B192" s="2" t="s">
        <v>129</v>
      </c>
      <c r="C192" s="2" t="s">
        <v>31</v>
      </c>
      <c r="D192" s="2" t="s">
        <v>20</v>
      </c>
      <c r="E192" s="2">
        <v>4</v>
      </c>
      <c r="F192" s="2">
        <v>38345.57</v>
      </c>
      <c r="G192" s="2" t="s">
        <v>32</v>
      </c>
    </row>
    <row r="193" spans="1:7">
      <c r="A193" s="2" t="s">
        <v>27</v>
      </c>
      <c r="B193" s="2" t="s">
        <v>128</v>
      </c>
      <c r="C193" s="2" t="s">
        <v>34</v>
      </c>
      <c r="D193" s="2" t="s">
        <v>14</v>
      </c>
      <c r="E193" s="2">
        <v>5</v>
      </c>
      <c r="F193" s="2">
        <v>162828.26999999999</v>
      </c>
      <c r="G193" s="2" t="s">
        <v>32</v>
      </c>
    </row>
    <row r="194" spans="1:7">
      <c r="A194" s="2" t="s">
        <v>27</v>
      </c>
      <c r="B194" s="2" t="s">
        <v>131</v>
      </c>
      <c r="C194" s="2" t="s">
        <v>19</v>
      </c>
      <c r="D194" s="2" t="s">
        <v>20</v>
      </c>
      <c r="E194" s="2">
        <v>2</v>
      </c>
      <c r="F194" s="2">
        <v>73330.59</v>
      </c>
      <c r="G194" s="2" t="s">
        <v>11</v>
      </c>
    </row>
    <row r="195" spans="1:7">
      <c r="A195" s="2" t="s">
        <v>27</v>
      </c>
      <c r="B195" s="2" t="s">
        <v>40</v>
      </c>
      <c r="C195" s="2" t="s">
        <v>19</v>
      </c>
      <c r="D195" s="2" t="s">
        <v>20</v>
      </c>
      <c r="E195" s="2">
        <v>4</v>
      </c>
      <c r="F195" s="2">
        <v>72885.58</v>
      </c>
      <c r="G195" s="2" t="s">
        <v>21</v>
      </c>
    </row>
    <row r="196" spans="1:7">
      <c r="A196" s="2" t="s">
        <v>27</v>
      </c>
      <c r="B196" s="2" t="s">
        <v>129</v>
      </c>
      <c r="C196" s="2" t="s">
        <v>31</v>
      </c>
      <c r="D196" s="2" t="s">
        <v>20</v>
      </c>
      <c r="E196" s="2">
        <v>10</v>
      </c>
      <c r="F196" s="2">
        <v>41015.83</v>
      </c>
      <c r="G196" s="2" t="s">
        <v>43</v>
      </c>
    </row>
    <row r="197" spans="1:7">
      <c r="A197" s="2" t="s">
        <v>27</v>
      </c>
      <c r="B197" s="2" t="s">
        <v>40</v>
      </c>
      <c r="C197" s="2" t="s">
        <v>13</v>
      </c>
      <c r="D197" s="2" t="s">
        <v>14</v>
      </c>
      <c r="E197" s="2">
        <v>3</v>
      </c>
      <c r="F197" s="2">
        <v>89674.6</v>
      </c>
      <c r="G197" s="2"/>
    </row>
    <row r="198" spans="1:7">
      <c r="A198" s="2" t="s">
        <v>27</v>
      </c>
      <c r="B198" s="2" t="s">
        <v>28</v>
      </c>
      <c r="C198" s="2" t="s">
        <v>9</v>
      </c>
      <c r="D198" s="2" t="s">
        <v>10</v>
      </c>
      <c r="E198" s="2">
        <v>3</v>
      </c>
      <c r="F198" s="2">
        <v>7618.03</v>
      </c>
      <c r="G198" s="2"/>
    </row>
    <row r="199" spans="1:7">
      <c r="A199" s="2" t="s">
        <v>27</v>
      </c>
      <c r="B199" s="2" t="s">
        <v>40</v>
      </c>
      <c r="C199" s="2" t="s">
        <v>13</v>
      </c>
      <c r="D199" s="2" t="s">
        <v>14</v>
      </c>
      <c r="E199" s="2">
        <v>2</v>
      </c>
      <c r="F199" s="2"/>
      <c r="G199" s="2" t="s">
        <v>21</v>
      </c>
    </row>
    <row r="200" spans="1:7">
      <c r="A200" s="2" t="s">
        <v>27</v>
      </c>
      <c r="B200" s="2" t="s">
        <v>8</v>
      </c>
      <c r="C200" s="2" t="s">
        <v>26</v>
      </c>
      <c r="D200" s="2" t="s">
        <v>10</v>
      </c>
      <c r="E200" s="2">
        <v>10</v>
      </c>
      <c r="F200" s="2"/>
      <c r="G200" s="2" t="s">
        <v>23</v>
      </c>
    </row>
    <row r="201" spans="1:7">
      <c r="A201" s="2" t="s">
        <v>27</v>
      </c>
      <c r="B201" s="2" t="s">
        <v>128</v>
      </c>
      <c r="C201" s="2" t="s">
        <v>16</v>
      </c>
      <c r="D201" s="2" t="s">
        <v>10</v>
      </c>
      <c r="E201" s="2">
        <v>-2</v>
      </c>
      <c r="F201" s="2">
        <v>13164.24</v>
      </c>
      <c r="G201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Advanced Sales Data</vt:lpstr>
      <vt:lpstr>Sheet4</vt:lpstr>
      <vt:lpstr>Sheet1</vt:lpstr>
      <vt:lpstr>Advanced Sales Data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2026-03-31T19:43:35Z</dcterms:created>
  <dcterms:modified xsi:type="dcterms:W3CDTF">2026-07-30T13:35:55Z</dcterms:modified>
</cp:coreProperties>
</file>